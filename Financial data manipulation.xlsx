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Currency Table" sheetId="2" r:id="rId6"/>
    <sheet state="visible" name="GQuery" sheetId="3" r:id="rId7"/>
    <sheet state="visible" name="Formulas" sheetId="4" r:id="rId8"/>
    <sheet state="visible" name="Pivot Table" sheetId="5" r:id="rId9"/>
    <sheet state="visible" name="Analysis" sheetId="6" r:id="rId10"/>
  </sheets>
  <definedNames>
    <definedName hidden="1" localSheetId="0" name="_xlnm._FilterDatabase">Data!$A$1:$H$1444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<sst xmlns="http://schemas.openxmlformats.org/spreadsheetml/2006/main" count="4370" uniqueCount="458">
  <si>
    <t>Trader ID</t>
  </si>
  <si>
    <t>Country</t>
  </si>
  <si>
    <t>City</t>
  </si>
  <si>
    <t>Reporting_week</t>
  </si>
  <si>
    <t>Successful transactions</t>
  </si>
  <si>
    <t>Failed transactions</t>
  </si>
  <si>
    <t>Gross_bookings</t>
  </si>
  <si>
    <t>Currency</t>
  </si>
  <si>
    <t>13ba2434-3f15-4a6c-8fb2-971d4edbc878</t>
  </si>
  <si>
    <t>Poland</t>
  </si>
  <si>
    <t>Gdansk</t>
  </si>
  <si>
    <t>d3f25e71-f59d-4281-b78a-c559b5e1d9e3</t>
  </si>
  <si>
    <t>Wroclaw</t>
  </si>
  <si>
    <t>f7388d83-5906-4df5-9fc9-5ee5438f0a5d</t>
  </si>
  <si>
    <t>Lodz</t>
  </si>
  <si>
    <t>39f3a680-56e7-4b2b-a706-94319a1da61e</t>
  </si>
  <si>
    <t>Warsaw</t>
  </si>
  <si>
    <t>63dc8854-5507-4bbc-b2e0-73e312a05bef</t>
  </si>
  <si>
    <t>1308203b-4a46-4f50-b4d7-a762dfe62146</t>
  </si>
  <si>
    <t>c2d1b451-32e8-458b-98f7-bbacb52cf739</t>
  </si>
  <si>
    <t>6a741918-1ba5-462d-963a-96bd8bc0cd7f</t>
  </si>
  <si>
    <t>f66db0dd-6f7d-4438-a70f-3a452f276824</t>
  </si>
  <si>
    <t>6300619f-2b1f-47e2-bb23-c43e45bca55d</t>
  </si>
  <si>
    <t>Krakow</t>
  </si>
  <si>
    <t>d6493a28-7324-4884-a0e8-b453f98ede84</t>
  </si>
  <si>
    <t>a9ffd244-5521-4aa2-983d-fcad2b2737b6</t>
  </si>
  <si>
    <t>1ac91d0a-4da2-4c01-b38f-0cf9dd87fdc6</t>
  </si>
  <si>
    <t>34073b27-326b-4885-9b39-4e34c326c29b</t>
  </si>
  <si>
    <t>044b6a93-0a3b-4d5f-83ce-bf7cd8ff7c64</t>
  </si>
  <si>
    <t>482ef93a-3192-48da-b5a7-fdec50c860b6</t>
  </si>
  <si>
    <t>Poznan</t>
  </si>
  <si>
    <t>654fa1a8-0ae8-43fd-8d4d-d9a20c3695b7</t>
  </si>
  <si>
    <t>27072524-27a7-4e29-b5c4-6e52f2533c45</t>
  </si>
  <si>
    <t>7ad59c70-12a2-4818-bee1-514b83dd37bb</t>
  </si>
  <si>
    <t>6261c8d9-ccc0-48ba-9015-76fd661ce9ef</t>
  </si>
  <si>
    <t>1b881084-5659-4d8b-b86f-c0d89c8819d6</t>
  </si>
  <si>
    <t>96f5ac8f-4723-47f4-8300-380ed21bc6e7</t>
  </si>
  <si>
    <t>d250466a-c56f-4e71-8ea7-dad0a5b2ffea</t>
  </si>
  <si>
    <t>fc678aaf-db1b-473d-a5b1-4658990fa530</t>
  </si>
  <si>
    <t>e45cfd06-5301-4af4-858d-54ca4de59f79</t>
  </si>
  <si>
    <t>01022828-82cf-4ec2-8cde-1eed07632fb6</t>
  </si>
  <si>
    <t>0a062c77-77f1-40bb-bf75-23b37aaa17ea</t>
  </si>
  <si>
    <t>0249f184-5b67-469d-a05e-ab2f7f7af959</t>
  </si>
  <si>
    <t>4a2a53f5-f0f4-40d2-aec5-56c24c63760d</t>
  </si>
  <si>
    <t>01f87bd6-b1a9-4143-9a2f-d785ab4ddbc2</t>
  </si>
  <si>
    <t>3084d2c8-b970-41bd-b994-8548873931c5</t>
  </si>
  <si>
    <t>993236a1-4fa5-4249-9228-af02bedc5a3a</t>
  </si>
  <si>
    <t>39cf7de0-4ee7-439f-9487-2b54fc807813</t>
  </si>
  <si>
    <t>b7cfebfd-ad3b-4c7c-9ab9-99e0f8c4444d</t>
  </si>
  <si>
    <t>cccc860e-279d-4a31-84e2-57f1b5171017</t>
  </si>
  <si>
    <t>fa37b3f0-bbbe-4fe2-8e65-93529e065ddc</t>
  </si>
  <si>
    <t>6187e698-f6c0-4e9d-88cb-f5265c58bf4a</t>
  </si>
  <si>
    <t>fb3a15c1-d3c3-4f4f-b8ed-2113bd9c4f68</t>
  </si>
  <si>
    <t>8366c09f-fd56-4a04-946e-3d1fad10d00a</t>
  </si>
  <si>
    <t>6a10af0e-e274-406a-ad5e-a931989b2e20</t>
  </si>
  <si>
    <t>3858513f-9523-4c89-9df4-3ef62acaf07e</t>
  </si>
  <si>
    <t>96451d57-9d2d-4009-8d98-8a81709aaab3</t>
  </si>
  <si>
    <t>96f0ec72-4a0e-4ecf-8ac1-9b525db89657</t>
  </si>
  <si>
    <t>4155b144-d4df-4123-8b7a-db4feb5c4400</t>
  </si>
  <si>
    <t>10a27859-3889-4a62-92b3-2ea7d168e668</t>
  </si>
  <si>
    <t>bf4c1c3b-77b0-4bc6-aff9-2062d5747e79</t>
  </si>
  <si>
    <t>4b41daf3-3a4e-4734-8af2-46cbb237e810</t>
  </si>
  <si>
    <t>028e33e1-53ce-4d8e-a32b-68a0cda8e5fb</t>
  </si>
  <si>
    <t>80f78519-0b66-42fa-b173-6c602bd0fb56</t>
  </si>
  <si>
    <t>ecc16b34-df78-42ba-9a83-bf5ca441db00</t>
  </si>
  <si>
    <t>d894e29d-c9ec-43fc-94ce-f6b4d1b81294</t>
  </si>
  <si>
    <t>e5f5e164-253d-4a32-a65e-6a008f77b444</t>
  </si>
  <si>
    <t>b8cbb745-9e1a-44e6-b19f-16fe0ce167e4</t>
  </si>
  <si>
    <t>8106cb53-e8b7-4d6e-ad1b-c82cac7624c6</t>
  </si>
  <si>
    <t>d781564c-61ae-4ed2-99d4-765e00b4801e</t>
  </si>
  <si>
    <t>0496023c-8ad6-4a4c-9edb-2aed81f41c7e</t>
  </si>
  <si>
    <t>1e18b6a6-eec1-4f4c-8ad7-e13b496ad43e</t>
  </si>
  <si>
    <t>47e81ae8-19b8-4512-86e4-d96a17e44d38</t>
  </si>
  <si>
    <t>0315331f-e6e7-4229-b89c-5c161e90b4c4</t>
  </si>
  <si>
    <t>6da0038d-2db4-4b96-96f2-608a0aa1ff04</t>
  </si>
  <si>
    <t>85ffb048-8f87-493a-b453-d7d9d300dfbb</t>
  </si>
  <si>
    <t>040b5c57-bbcd-491e-9168-21b2d807f924</t>
  </si>
  <si>
    <t>6146b9ba-321d-43b4-8066-db955face27b</t>
  </si>
  <si>
    <t>890d2a84-f303-4c19-96ad-1904c62c4797</t>
  </si>
  <si>
    <t>aa51a7a1-a778-4464-ba35-408ed0d06819</t>
  </si>
  <si>
    <t>31b85576-c3ee-484b-978e-8e2cb84c955e</t>
  </si>
  <si>
    <t>23834b2a-3db6-443e-9612-a1f98db04b81</t>
  </si>
  <si>
    <t>51bae29f-bc88-44b5-b05d-5687a8a83720</t>
  </si>
  <si>
    <t>e3f3b31e-0af8-4d02-9bcc-4423ad8a97a9</t>
  </si>
  <si>
    <t>d1c277ca-161d-4581-9fc7-b3114d590712</t>
  </si>
  <si>
    <t>7a6aca2a-2fb8-4dc1-a6b2-4723b607bbb8</t>
  </si>
  <si>
    <t>7957a0aa-5256-4898-b7ae-c3aacd600289</t>
  </si>
  <si>
    <t>11e241a8-48eb-4d58-9c2f-f1b0c4f70651</t>
  </si>
  <si>
    <t>53fd2bf4-307e-445e-8464-75a43b2ec730</t>
  </si>
  <si>
    <t>1d8b79bd-3615-4236-a1b7-a8edb16c8a07</t>
  </si>
  <si>
    <t>31fba148-bcab-41cd-a2a0-423901e3df55</t>
  </si>
  <si>
    <t>03568fa1-9357-405b-8fa9-cc136f9b5391</t>
  </si>
  <si>
    <t>55542419-044e-4cd7-84e6-975780911173</t>
  </si>
  <si>
    <t>14768b32-9c82-4e5c-b220-443f5b19e3e3</t>
  </si>
  <si>
    <t>caa3110f-e624-4f30-88e9-6f88f1b71129</t>
  </si>
  <si>
    <t>3bd92f94-508a-4ad8-b95d-24ce7e6e288e</t>
  </si>
  <si>
    <t>b52e4d01-bd8b-4b83-96b0-1760995c09f9</t>
  </si>
  <si>
    <t>0efa2ab0-07dd-4cc1-a6ff-6cd205147227</t>
  </si>
  <si>
    <t>b757ff69-cc47-429e-a214-c270396205bf</t>
  </si>
  <si>
    <t>28634f6f-3c44-4e8c-b450-08c0bd9c8d00</t>
  </si>
  <si>
    <t>f295b181-360f-4d85-b6ae-d32ea9493b80</t>
  </si>
  <si>
    <t>52c88cf3-ed6f-40f3-95a4-2ae2ba4dc743</t>
  </si>
  <si>
    <t>9acdc63d-7516-45b9-b49c-032c92cca905</t>
  </si>
  <si>
    <t>4eeddb18-7bab-484c-94e3-c265e0ab4fd8</t>
  </si>
  <si>
    <t>0d8ee126-63db-4461-ba90-532bea50e3f6</t>
  </si>
  <si>
    <t>25ca6117-3fed-4859-8cab-863863fe600b</t>
  </si>
  <si>
    <t>d30d4a3e-b049-459b-83ab-b06a35c6415a</t>
  </si>
  <si>
    <t>d3d10171-8548-4095-b591-7ada1e38ec8a</t>
  </si>
  <si>
    <t>f77320db-b7c0-425a-95b2-2cb7a56cf7ee</t>
  </si>
  <si>
    <t>8a843165-5331-4921-a0c0-bc5fb7f83d23</t>
  </si>
  <si>
    <t>67e81f84-545f-4bfb-ab8e-07ae6aea19a9</t>
  </si>
  <si>
    <t>f12cb33a-d952-4c35-9f50-797eba8f7156</t>
  </si>
  <si>
    <t>4d7d2a11-c989-48e9-845c-047aa194bb70</t>
  </si>
  <si>
    <t>bf35d089-db01-4cf9-9472-9693659275fe</t>
  </si>
  <si>
    <t>6918fb7f-1c4d-4525-a24a-bc5c952a330e</t>
  </si>
  <si>
    <t>81e70951-e499-4508-8ee2-5bad59e72ded</t>
  </si>
  <si>
    <t>edb75883-24df-4a23-9e71-633dd51f785a</t>
  </si>
  <si>
    <t>02ce85b1-3f02-4974-8f97-ceabe0ffa5c7</t>
  </si>
  <si>
    <t>2f1a65e0-1ba2-4e7d-8215-3eeaf6cbd01d</t>
  </si>
  <si>
    <t>b170515f-6f3a-4455-8559-f1c58251532c</t>
  </si>
  <si>
    <t>145e8d7e-e92d-4949-89f6-0b85dd427992</t>
  </si>
  <si>
    <t>1878a50c-bb58-4c53-b69c-0e61ee6d0959</t>
  </si>
  <si>
    <t>c10f06ee-28a6-4557-a8d5-933aa7aa7844</t>
  </si>
  <si>
    <t>52dca8bf-167c-4509-a536-9d7bb83db4dc</t>
  </si>
  <si>
    <t>1d799b9a-ca5a-465f-a58e-bd95d6ee3af3</t>
  </si>
  <si>
    <t>4a1b1320-c994-4e53-af2f-cc1776a7ca85</t>
  </si>
  <si>
    <t>bd0cbced-3523-49d4-9589-da277b1ab8a6</t>
  </si>
  <si>
    <t>ea61dfb7-87a9-4262-b371-ca8d1350b9c2</t>
  </si>
  <si>
    <t>UK</t>
  </si>
  <si>
    <t>Manchester</t>
  </si>
  <si>
    <t>46ae29a2-b974-4bcb-8d78-36515dc02fd5</t>
  </si>
  <si>
    <t>Birmingham</t>
  </si>
  <si>
    <t>13819e8f-dbb4-4298-97c4-83a579556785</t>
  </si>
  <si>
    <t>Liverpool</t>
  </si>
  <si>
    <t>c3b89ab8-c3dc-4c43-8459-3ea38b817cd8</t>
  </si>
  <si>
    <t>Nottingham</t>
  </si>
  <si>
    <t>66731b86-79d3-43ff-bb4a-8cab4f55bdb4</t>
  </si>
  <si>
    <t>Bristol</t>
  </si>
  <si>
    <t>8eb5501b-0ee3-40bc-8f4e-1f8fd7a6ade4</t>
  </si>
  <si>
    <t>0c541de3-59fb-4358-bed9-323f180800d8</t>
  </si>
  <si>
    <t>35a82793-084f-493d-a34a-54ff271d735a</t>
  </si>
  <si>
    <t>2db77bc5-f3a4-499c-99fb-e01e62b3b408</t>
  </si>
  <si>
    <t>9a68898e-01a1-4d6e-b5fa-0d9617245e60</t>
  </si>
  <si>
    <t>5d6b1cdc-4f73-4ba0-a5ba-210109d72667</t>
  </si>
  <si>
    <t>cc4f6bd7-537c-4981-9809-459049725c06</t>
  </si>
  <si>
    <t>London</t>
  </si>
  <si>
    <t>6d9944c9-8b73-43d2-ac94-c140233634bs</t>
  </si>
  <si>
    <t>ca0ab00c-57bf-4a74-a79a-250bc67889b9</t>
  </si>
  <si>
    <t>1ae178b9-5a92-4ce6-9cd2-0536ac786ff6</t>
  </si>
  <si>
    <t>5fb619f8-ec50-47de-8a84-3829cb8862a8</t>
  </si>
  <si>
    <t>165d97f1-2255-462f-9b3b-ef1bdcff2cbg</t>
  </si>
  <si>
    <t>a1256fa6-95a1-4b76-8b24-f0c72647538f</t>
  </si>
  <si>
    <t>2079f9db-0707-4c61-b9b4-03e904a904ff</t>
  </si>
  <si>
    <t>927cbe9e-6c48-4274-8375-1f10c0cb7ad5</t>
  </si>
  <si>
    <t>7a43005f-a8ee-4c46-9d56-7543a354be1h</t>
  </si>
  <si>
    <t>288a151f-5c54-4b43-a969-72705bf13715</t>
  </si>
  <si>
    <t>fb93fc87-48c0-4a6d-83c6-654a6efe173n</t>
  </si>
  <si>
    <t>b6fb1384-4414-4bf9-9c28-af52538d5048</t>
  </si>
  <si>
    <t>f500a8e5-79c6-4792-9d4c-66616d1c5506</t>
  </si>
  <si>
    <t>ae372fb4-0d5b-4afd-bbf9-7a58454d9370</t>
  </si>
  <si>
    <t>3c2fd31a-f104-402e-ad65-b6d613bb072m</t>
  </si>
  <si>
    <t>56779c78-fd2e-4c36-8af6-a394b4c08f96</t>
  </si>
  <si>
    <t>29c33478-d4dd-4668-abc1-cba3af0aa5e5</t>
  </si>
  <si>
    <t>001dc755-ba87-47ac-8464-47e6c7fb9ed5</t>
  </si>
  <si>
    <t>3e5e7448-2215-40db-b103-2ccfcb9f233q</t>
  </si>
  <si>
    <t>2ccdcf54-f9cb-4b2f-b5ac-cd3fb956e33e</t>
  </si>
  <si>
    <t>c1dcd5c1-7dc0-4c3d-89f3-110318f0c8f5</t>
  </si>
  <si>
    <t>d48a4781-9cb4-4a88-bc67-0a8276d6f676</t>
  </si>
  <si>
    <t>6974dec2-98aa-48f0-bc9d-6d71254ff71w</t>
  </si>
  <si>
    <t>734cafc0-e649-47f7-ae9b-4cc025061a14</t>
  </si>
  <si>
    <t>aa6583d6-5de2-4ad9-8472-db89f8696eey</t>
  </si>
  <si>
    <t>dee6e575-7ce1-464f-9ac0-7f7487b241e6</t>
  </si>
  <si>
    <t>73510660-f025-4d95-b971-f1a831b727bd</t>
  </si>
  <si>
    <t>0a6400a9-1eea-420c-903f-50825d0969c8</t>
  </si>
  <si>
    <t>22c62867-249a-4f5f-b2a5-1bb97765c3b2</t>
  </si>
  <si>
    <t>68d13614-8753-4afe-b781-9bb7f629a08k</t>
  </si>
  <si>
    <t>167be78d-a59e-40d6-9ae3-0e30c56dcb97</t>
  </si>
  <si>
    <t>2d6e61e0-9865-4cdb-b86f-48eacaecf89a</t>
  </si>
  <si>
    <t>b04c0884-0345-4c6a-8300-26baa15bf243</t>
  </si>
  <si>
    <t>ce4ea715-d32f-45dd-9150-8f600184f5b0</t>
  </si>
  <si>
    <t>3c76d045-69b4-4abc-88be-5f08785d98e1</t>
  </si>
  <si>
    <t>0eb61463-1dd6-4bf7-8298-5c1c8702826h</t>
  </si>
  <si>
    <t>b3aa4a39-8c7d-480e-951a-df805c211e4u</t>
  </si>
  <si>
    <t>77135e29-d302-4a0a-835e-3cd7ab4bd7a7</t>
  </si>
  <si>
    <t>c4c3e6c0-e880-4432-a618-444c9a453526</t>
  </si>
  <si>
    <t>194474c1-7c19-46f7-8dec-f71591a69657</t>
  </si>
  <si>
    <t>b6fdc287-acce-4146-9e28-54a5b2a70ec6</t>
  </si>
  <si>
    <t>b2eff025-a03b-462a-bf72-01fb7cc545e9</t>
  </si>
  <si>
    <t>72c6cab0-6331-4be2-b221-d958049c0bc3</t>
  </si>
  <si>
    <t>fad769ad-ca83-4ecd-9789-787625b5ad0g</t>
  </si>
  <si>
    <t>6498c12c-5d53-4234-a952-d669f5da80c5</t>
  </si>
  <si>
    <t>eb0bd060-3e80-4760-a7c8-f406e63b21eg</t>
  </si>
  <si>
    <t>50044743-5d1e-4272-a3f2-8907033f0f59</t>
  </si>
  <si>
    <t>2af11deb-b5d3-459a-8ff8-105086ee007h</t>
  </si>
  <si>
    <t>3605dd8b-482d-480a-b576-ed7582f467cj</t>
  </si>
  <si>
    <t>7761bfe5-39d2-4335-8a22-c83f154b724x</t>
  </si>
  <si>
    <t>34051478-ed34-4deb-bc6f-4577a222ae44</t>
  </si>
  <si>
    <t>f35328c9-1081-47cd-b50f-e16acd3c85bj</t>
  </si>
  <si>
    <t>91df809a-ae78-47aa-a618-f23df1319985</t>
  </si>
  <si>
    <t>4d397b3b-5009-49ed-9ce0-856e9cd423av</t>
  </si>
  <si>
    <t>61b5e379-18f0-4751-8442-eb1726fd90d5</t>
  </si>
  <si>
    <t>538a5ca2-c53b-47b4-b8da-2c8ec1c9507t</t>
  </si>
  <si>
    <t>206820bd-e993-4d07-895b-2846b19df2f7</t>
  </si>
  <si>
    <t>854ff8a4-34aa-4ec0-9672-7bb66e1bb90p</t>
  </si>
  <si>
    <t>fe832000-15ce-471f-a1b1-449f3c280fe3</t>
  </si>
  <si>
    <t>59199ee6-f72a-4719-bb4c-d484a9657a6b</t>
  </si>
  <si>
    <t>3533d78c-df19-496a-bfcc-75a523b0ce37</t>
  </si>
  <si>
    <t>a043c0b7-294c-4997-b488-520126daac26</t>
  </si>
  <si>
    <t>436b5a18-871b-4f5c-8378-02bc71c62ae8</t>
  </si>
  <si>
    <t>fb93fc87-48c0-4a6d-83c6-654a6efe173a</t>
  </si>
  <si>
    <t>9a68898e-01a1-4d6e-b5fa-0d9617245e63</t>
  </si>
  <si>
    <t>8eb5501b-0ee3-40bc-8f4e-1f8fd7a6adeb</t>
  </si>
  <si>
    <t>b6fdc287-acce-4146-9e28-54a5b2a70ecf</t>
  </si>
  <si>
    <t>b04c0884-0345-4c6a-8300-26baa15bf240</t>
  </si>
  <si>
    <t>194474c1-7c19-46f7-8dec-f71591a6965f</t>
  </si>
  <si>
    <t>854ff8a4-34aa-4ec0-9672-7bb66e1bb909</t>
  </si>
  <si>
    <t>35eae0d3-ff3e-452b-9664-68e907d4e70k</t>
  </si>
  <si>
    <t>538a5ca2-c53b-47b4-b8da-2c8ec1c95078</t>
  </si>
  <si>
    <t>34051478-ed34-4deb-bc6f-4577a222ae4a</t>
  </si>
  <si>
    <t>91df809a-ae78-47aa-a618-f23df1319988</t>
  </si>
  <si>
    <t>4eb6f8ee-120d-4b4d-b702-67225c493fa3</t>
  </si>
  <si>
    <t>f82160bd-df11-464c-80f2-5926b2c72bcv</t>
  </si>
  <si>
    <t>906a2dd5-fb83-4a78-a7f0-f4c1f9e21567</t>
  </si>
  <si>
    <t>c3b89ab8-c3dc-4c43-8459-3ea38b817cdd</t>
  </si>
  <si>
    <t>ea61dfb7-87a9-4262-b371-ca8d1350b9c5</t>
  </si>
  <si>
    <t>c1dcd5c1-7dc0-4c3d-89f3-110318f0c8f0</t>
  </si>
  <si>
    <t>b6fb1384-4414-4bf9-9c28-af52538d5042</t>
  </si>
  <si>
    <t>0eb61463-1dd6-4bf7-8298-5c1c87028262</t>
  </si>
  <si>
    <t>b6fb1384-4414-4bf9-9c28-af52538d5045</t>
  </si>
  <si>
    <t>22c62867-249a-4f5f-b2a5-1bb97765c3b7</t>
  </si>
  <si>
    <t>3c2fd31a-f104-402e-ad65-b6d613bb072a</t>
  </si>
  <si>
    <t>2d6e61e0-9865-4cdb-b86f-48eacaecf896</t>
  </si>
  <si>
    <t>fe832000-15ce-471f-a1b1-449f3c280fee</t>
  </si>
  <si>
    <t>77135e29-d302-4a0a-835e-3cd7ab4bd7af</t>
  </si>
  <si>
    <t>2af11deb-b5d3-459a-8ff8-105086ee007b</t>
  </si>
  <si>
    <t>70481fe9-ff12-46ee-b8b7-3f9013883471</t>
  </si>
  <si>
    <t>4a9fea40-de3b-41b4-b1e9-6ad5bc792c4r</t>
  </si>
  <si>
    <t>46ae29a2-b974-4bcb-8d78-36515dc02fd2</t>
  </si>
  <si>
    <t>d48a4781-9cb4-4a88-bc67-0a8276d6f675</t>
  </si>
  <si>
    <t>6974dec2-98aa-48f0-bc9d-6d71254ff71c</t>
  </si>
  <si>
    <t>66731b86-79d3-43ff-bb4a-8cab4f55bdb3</t>
  </si>
  <si>
    <t>b2eff025-a03b-462a-bf72-01fb7cc545eb</t>
  </si>
  <si>
    <t>a043c0b7-294c-4997-b488-520126daac28</t>
  </si>
  <si>
    <t>3605dd8b-482d-480a-b576-ed7582f467c7</t>
  </si>
  <si>
    <t>France</t>
  </si>
  <si>
    <t>Bordeaux</t>
  </si>
  <si>
    <t>Toulouse</t>
  </si>
  <si>
    <t>13819e8f-dbb4-4298-97c4-83a579556789</t>
  </si>
  <si>
    <t>Lille</t>
  </si>
  <si>
    <t>0c541de3-59fb-4358-bed9-323f180800d4</t>
  </si>
  <si>
    <t>35a82793-084f-493d-a34a-54ff271d7355</t>
  </si>
  <si>
    <t>Paris</t>
  </si>
  <si>
    <t>2db77bc5-f3a4-499c-99fb-e01e62b3b40a</t>
  </si>
  <si>
    <t>5d6b1cdc-4f73-4ba0-a5ba-210109d7266a</t>
  </si>
  <si>
    <t>cc4f6bd7-537c-4981-9809-459049725c0c</t>
  </si>
  <si>
    <t>6d9944c9-8b73-43d2-ac94-c140233634be</t>
  </si>
  <si>
    <t>Nantes</t>
  </si>
  <si>
    <t>ca0ab00c-57bf-4a74-a79a-250bc67889ba</t>
  </si>
  <si>
    <t>1ae178b9-5a92-4ce6-9cd2-0536ac786ff1</t>
  </si>
  <si>
    <t>5fb619f8-ec50-47de-8a84-3829cb8862a1</t>
  </si>
  <si>
    <t>165d97f1-2255-462f-9b3b-ef1bdcff2cb8</t>
  </si>
  <si>
    <t>a1256fa6-95a1-4b76-8b24-f0c72647538c</t>
  </si>
  <si>
    <t>2079f9db-0707-4c61-b9b4-03e904a904f3</t>
  </si>
  <si>
    <t>927cbe9e-6c48-4274-8375-1f10c0cb7adc</t>
  </si>
  <si>
    <t>7a43005f-a8ee-4c46-9d56-7543a354be19</t>
  </si>
  <si>
    <t>288a151f-5c54-4b43-a969-72705bf13710</t>
  </si>
  <si>
    <t>f500a8e5-79c6-4792-9d4c-66616d1c5503</t>
  </si>
  <si>
    <t>ae372fb4-0d5b-4afd-bbf9-7a58454d9372</t>
  </si>
  <si>
    <t>56779c78-fd2e-4c36-8af6-a394b4c08f91</t>
  </si>
  <si>
    <t>29c33478-d4dd-4668-abc1-cba3af0aa5ee</t>
  </si>
  <si>
    <t>001dc755-ba87-47ac-8464-47e6c7fb9ed0</t>
  </si>
  <si>
    <t>3e5e7448-2215-40db-b103-2ccfcb9f233f</t>
  </si>
  <si>
    <t>2ccdcf54-f9cb-4b2f-b5ac-cd3fb956e333</t>
  </si>
  <si>
    <t>734cafc0-e649-47f7-ae9b-4cc025061a19</t>
  </si>
  <si>
    <t>aa6583d6-5de2-4ad9-8472-db89f8696ee6</t>
  </si>
  <si>
    <t>dee6e575-7ce1-464f-9ac0-7f7487b241e4</t>
  </si>
  <si>
    <t>73510660-f025-4d95-b971-f1a831b727b6</t>
  </si>
  <si>
    <t>0a6400a9-1eea-420c-903f-50825d0969c4</t>
  </si>
  <si>
    <t>68d13614-8753-4afe-b781-9bb7f629a08d</t>
  </si>
  <si>
    <t>167be78d-a59e-40d6-9ae3-0e30c56dcb93</t>
  </si>
  <si>
    <t>ce4ea715-d32f-45dd-9150-8f600184f5b3</t>
  </si>
  <si>
    <t>3c76d045-69b4-4abc-88be-5f08785d98e5</t>
  </si>
  <si>
    <t>b3aa4a39-8c7d-480e-951a-df805c211e46</t>
  </si>
  <si>
    <t>c4c3e6c0-e880-4432-a618-444c9a453520</t>
  </si>
  <si>
    <t>72c6cab0-6331-4be2-b221-d958049c0bc8</t>
  </si>
  <si>
    <t>fad769ad-ca83-4ecd-9789-787625b5ad01</t>
  </si>
  <si>
    <t>6498c12c-5d53-4234-a952-d669f5da80c3</t>
  </si>
  <si>
    <t>eb0bd060-3e80-4760-a7c8-f406e63b21e8</t>
  </si>
  <si>
    <t>50044743-5d1e-4272-a3f2-8907033f0f5f</t>
  </si>
  <si>
    <t>7761bfe5-39d2-4335-8a22-c83f154b724e</t>
  </si>
  <si>
    <t>f35328c9-1081-47cd-b50f-e16acd3c85b5</t>
  </si>
  <si>
    <t>4d397b3b-5009-49ed-9ce0-856e9cd423a0</t>
  </si>
  <si>
    <t>61b5e379-18f0-4751-8442-eb1726fd90d0</t>
  </si>
  <si>
    <t>206820bd-e993-4d07-895b-2846b19df2f3</t>
  </si>
  <si>
    <t>59199ee6-f72a-4719-bb4c-d484a9657a6a</t>
  </si>
  <si>
    <t>3533d78c-df19-496a-bfcc-75a523b0ce3e</t>
  </si>
  <si>
    <t>436b5a18-871b-4f5c-8378-02bc71c62aec</t>
  </si>
  <si>
    <t>70481fe9-ff12-46ee-b8b7-3f901388347b</t>
  </si>
  <si>
    <t>4a9fea40-de3b-41b4-b1e9-6ad5bc792c4f</t>
  </si>
  <si>
    <t>35eae0d3-ff3e-452b-9664-68e907d4e707</t>
  </si>
  <si>
    <t>906a2dd5-fb83-4a78-a7f0-f4c1f9e21562</t>
  </si>
  <si>
    <t>4eb6f8ee-120d-4b4d-b702-67225c493fab</t>
  </si>
  <si>
    <t>f82160bd-df11-464c-80f2-5926b2c72bcd</t>
  </si>
  <si>
    <t>835bc704-0e2b-4cde-8574-721b40442b4a</t>
  </si>
  <si>
    <t>92656823-acf1-48a0-b9da-7d7ea8797a82</t>
  </si>
  <si>
    <t>9d609b5f-1570-4200-98e1-0e70f5b81248</t>
  </si>
  <si>
    <t>1e0dc9ba-a52d-42d7-b023-3b72150fadf0</t>
  </si>
  <si>
    <t>cbf917d0-23c5-4e38-9c82-96d5eb9c6a62</t>
  </si>
  <si>
    <t>65a46f29-8b9a-40a8-87bc-9be04237a0cc</t>
  </si>
  <si>
    <t>11a97369-238a-4d4f-a27b-083e8df81a60</t>
  </si>
  <si>
    <t>1060b623-1691-46e3-a10c-b6ea31e21a1f</t>
  </si>
  <si>
    <t>765c842c-328c-4f43-b1f4-589a69edee7d</t>
  </si>
  <si>
    <t>f86b7e5c-a327-48c2-aa80-c994d14d6e93</t>
  </si>
  <si>
    <t>79083d03-9a51-40d7-85c1-f2419f2023cc</t>
  </si>
  <si>
    <t>65d3ddaa-1579-4da5-bb3a-af99fa5f2b6d</t>
  </si>
  <si>
    <t>e4f2680d-03b7-4c72-a59b-930d55600e16</t>
  </si>
  <si>
    <t>1b99af62-89f4-46a5-9d9d-cc01aea55819</t>
  </si>
  <si>
    <t>08ec59cc-81bd-4ef4-8a12-9f2408ed882f</t>
  </si>
  <si>
    <t>c2fe1247-40ba-4a44-8bcf-02d1e9c71584</t>
  </si>
  <si>
    <t>20f18f7f-7279-42c0-91a4-c7334e2a334f</t>
  </si>
  <si>
    <t>3750aa69-e694-4589-aa5c-35624b24b163</t>
  </si>
  <si>
    <t>4f352690-d3fe-42a1-941c-538073537ee8</t>
  </si>
  <si>
    <t>75711b66-d06a-4714-b36c-94fe2206734b</t>
  </si>
  <si>
    <t>fd2a507b-7caa-436c-b4e5-40f463cb4ec3</t>
  </si>
  <si>
    <t>2c6bca2a-0829-4933-a7aa-85bd6cfc9e29</t>
  </si>
  <si>
    <t>91d19ba3-f6de-486a-8df4-ee613db8a610</t>
  </si>
  <si>
    <t>b03a1108-f265-4296-beb7-575c2e082763</t>
  </si>
  <si>
    <t>33c59cc4-5757-4192-bd35-b5e7c1ba99de</t>
  </si>
  <si>
    <t>260dbda5-14ea-40a9-a62f-2d87431d6f29</t>
  </si>
  <si>
    <t>88025745-439f-44b9-8312-8b8a6825d27b</t>
  </si>
  <si>
    <t>Spain</t>
  </si>
  <si>
    <t>Palma</t>
  </si>
  <si>
    <t>31bba2e7-d1fe-41cd-be5c-e3636a0667d9</t>
  </si>
  <si>
    <t>Barcelona</t>
  </si>
  <si>
    <t>036f3605-ea52-4674-84a6-7e0d2f0353f3</t>
  </si>
  <si>
    <t>Alicante</t>
  </si>
  <si>
    <t>8a5b6cb6-7623-4747-b6a8-ac073d224fc5</t>
  </si>
  <si>
    <t>d9b80ba0-26fa-4c4a-9bc7-9b0e615ca42a</t>
  </si>
  <si>
    <t>Seville</t>
  </si>
  <si>
    <t>79a4c14d-c350-464f-9f18-ee9e0aacf663</t>
  </si>
  <si>
    <t>Zaragoza</t>
  </si>
  <si>
    <t>4e1a1f74-acc4-48d8-9eeb-82d0cda150e2</t>
  </si>
  <si>
    <t>f9dd35e9-3836-445c-ae43-dcba03f19752</t>
  </si>
  <si>
    <t>ff664904-970d-4b4a-810d-39742ae7ed11</t>
  </si>
  <si>
    <t>dec20699-a039-40e8-a8a0-6bcfbeb7d5f9</t>
  </si>
  <si>
    <t>a4e911d2-3629-4955-8bfc-52540f7085a7</t>
  </si>
  <si>
    <t>24838163-3996-4459-92db-9f0fc24919f8</t>
  </si>
  <si>
    <t>Valencia</t>
  </si>
  <si>
    <t>5444739b-f358-46a1-9355-3671cbaa2dea</t>
  </si>
  <si>
    <t>39a5eb8c-4c30-4fa8-8650-d06d6699ed25</t>
  </si>
  <si>
    <t>bbe28a33-5f8c-4592-b86d-d94518ce9138</t>
  </si>
  <si>
    <t>ab891a29-1aa7-419d-898b-0a4531cd071a</t>
  </si>
  <si>
    <t>Madrid</t>
  </si>
  <si>
    <t>503df279-0d87-432f-a9c0-d2142e290d39</t>
  </si>
  <si>
    <t>18e53e7e-277e-4fca-ad96-7461927a58e0</t>
  </si>
  <si>
    <t>6cd4e310-54ae-4b84-a4a4-c8993ccaf468</t>
  </si>
  <si>
    <t>1157d270-01cf-481b-b487-4028f582b098</t>
  </si>
  <si>
    <t>2f9399a5-80b7-443c-8a8f-130632741075</t>
  </si>
  <si>
    <t>cee372e5-6eb9-413d-9c3e-299e5dae8f27</t>
  </si>
  <si>
    <t>7ae299a0-47b9-431e-9d07-df2029dee59d</t>
  </si>
  <si>
    <t>bf3267d7-716f-4152-894b-923357d6bca8</t>
  </si>
  <si>
    <t>1ccd7759-5d95-4dd8-9fb5-0a3c1db2ddb0</t>
  </si>
  <si>
    <t>618db574-ae17-4e35-b8ed-e9b4436ba01c</t>
  </si>
  <si>
    <t>2c9457d3-85d4-4eaa-9636-fcecd2c9920b</t>
  </si>
  <si>
    <t>c0b4cae2-af04-411b-84ad-3e0afa9f117b</t>
  </si>
  <si>
    <t>b297b739-f8fe-4824-a6c1-8bca87382010</t>
  </si>
  <si>
    <t>b94134e5-0461-4c44-8546-4ffc413d3f98</t>
  </si>
  <si>
    <t>c9b6076d-6132-48b1-9537-bbc827a7e224</t>
  </si>
  <si>
    <t>2b349a5e-df19-497c-8da8-1ccaafd6461e</t>
  </si>
  <si>
    <t>c7acb219-5a1c-42ff-a32c-b6769f2505bd</t>
  </si>
  <si>
    <t>a8745a0d-6dc8-4ea8-b668-e2c50b474ea4</t>
  </si>
  <si>
    <t>3edbff60-5a8e-42e1-9d1d-367d0234796a</t>
  </si>
  <si>
    <t>c986eca7-89bd-4820-affe-d55f29d67869</t>
  </si>
  <si>
    <t>04e9a325-07dc-4fdf-989d-96c386de8229</t>
  </si>
  <si>
    <t>47669223-1964-48c7-9e8c-1995306b01ef</t>
  </si>
  <si>
    <t>45f8eba0-aa41-4552-a068-6fa6724f2be4</t>
  </si>
  <si>
    <t>2a43dd5f-493d-4ce3-b5a9-5d4f5ae7f049</t>
  </si>
  <si>
    <t>fd112c0f-03de-4353-b825-bec200df7ae6</t>
  </si>
  <si>
    <t>6d1ecd55-5d28-4120-ae4a-fe49ad773625</t>
  </si>
  <si>
    <t>73b755fd-77e8-488c-a975-b258235880ab</t>
  </si>
  <si>
    <t>92f71135-4a71-4439-b4e4-75e416eb5e64</t>
  </si>
  <si>
    <t>3bcc7e99-bf74-43f5-baea-e8734c661ea5</t>
  </si>
  <si>
    <t>051884b6-9901-4ff4-98e6-5e4b2ec2074b</t>
  </si>
  <si>
    <t>f39e8bb6-ed17-4778-90dc-bd9f91b9170b</t>
  </si>
  <si>
    <t>70aaa1d5-4af4-418a-a630-dd72cfc0730a</t>
  </si>
  <si>
    <t>5c61bc0a-a8b1-4359-b7b7-4141409cab8d</t>
  </si>
  <si>
    <t>d2077931-9dfd-4e80-9fe2-f024edc041e8</t>
  </si>
  <si>
    <t>e4356d39-4f00-4c67-af2c-d632bb8e1ac4</t>
  </si>
  <si>
    <t>253588a9-b133-470d-9ff6-f23ab95c2f3e</t>
  </si>
  <si>
    <t>36279c66-5e7e-45ed-ba22-682a60fbbb1a</t>
  </si>
  <si>
    <t>16c622c7-3fa2-4e48-a6fb-7ccc7bd13193</t>
  </si>
  <si>
    <t>5481e7d1-64c0-41ae-97ec-cf703b223a0c</t>
  </si>
  <si>
    <t>d657a90d-09e0-4fc7-a41c-7f1965d0869e</t>
  </si>
  <si>
    <t>82f96ede-f7f7-4530-8bcb-d479a0fbf451</t>
  </si>
  <si>
    <t>661caff1-c5b1-4de3-9083-ca0d09602918</t>
  </si>
  <si>
    <t>f1039260-5d87-43b0-b469-7de56ffffb0b</t>
  </si>
  <si>
    <t>f0ca0739-bd0f-4f63-92b8-e6d31817728c</t>
  </si>
  <si>
    <t>e5aa4400-ca94-40c4-a26e-5826fdf56e62</t>
  </si>
  <si>
    <t>dfbfac93-e2dd-41a9-9f8e-82b3388cff68</t>
  </si>
  <si>
    <t>f9772287-ac0c-41aa-86aa-3f1a0253f79c</t>
  </si>
  <si>
    <t>39a7a0c1-6aa6-4b94-ae91-3c76040665e0</t>
  </si>
  <si>
    <t>a5891e66-f7dd-435c-87b7-74aed3f05510</t>
  </si>
  <si>
    <t>7292e77f-0fa1-4053-86aa-effc3a753600</t>
  </si>
  <si>
    <t>fa91a859-d054-46e3-84df-0fa5b52679f6</t>
  </si>
  <si>
    <t>af71c7ad-3dc0-4adc-b2da-87e33345f6e0</t>
  </si>
  <si>
    <t>b4173f0b-b79e-4e44-8834-e3183ecf2c2a</t>
  </si>
  <si>
    <t>3e80f727-4d9a-4607-a6ae-a8015eeb25dd</t>
  </si>
  <si>
    <t>444e12e3-12a6-4884-a6e2-1824931a66b8</t>
  </si>
  <si>
    <t>b16c4ae9-e07c-4878-b99d-b381214e2c4f</t>
  </si>
  <si>
    <t>068075e9-c780-4f54-80c8-5aa0fab772ac</t>
  </si>
  <si>
    <t>94074d04-5525-49a0-9f73-f9c23e7559ae</t>
  </si>
  <si>
    <t>c3365fce-999f-4f1c-9ee9-ee10f65183f4</t>
  </si>
  <si>
    <t>691b4c51-6081-4485-adb6-0459cdec820c</t>
  </si>
  <si>
    <t>f09bab7b-cde8-4149-9eb2-7b6f1c3b7176</t>
  </si>
  <si>
    <t>82fe1060-9250-46f5-b2bb-58d19582e247</t>
  </si>
  <si>
    <t>d33e89d9-3414-4725-9f72-c52de0b20d55</t>
  </si>
  <si>
    <t>323ac5f6-d709-43ca-be2b-cc1b9aaae0f9</t>
  </si>
  <si>
    <t>5281fa79-abc2-43bb-9e68-08bc948c4e7f</t>
  </si>
  <si>
    <t>cc69f56c-d4f1-4853-862d-627b38446a81</t>
  </si>
  <si>
    <t>7add3b40-490d-42c2-8757-32011acc51fc</t>
  </si>
  <si>
    <t>21c4491a-386a-4ffd-909f-32c14701fdc1</t>
  </si>
  <si>
    <t>973f7dd9-2eaf-4a30-9dcc-3baf9a6b20f6</t>
  </si>
  <si>
    <t>879b3fc5-9c0b-4661-afd4-8b96b1d2b38f</t>
  </si>
  <si>
    <t>1f1da5af-6ef2-4756-98e9-543a2a01edb2</t>
  </si>
  <si>
    <t>62119aa7-42d7-43c7-b01c-0d244f990aed</t>
  </si>
  <si>
    <t>6c7bf407-ed07-40ce-a448-b58cc7128c7d</t>
  </si>
  <si>
    <t>07340163-2177-455f-ace4-1e34f9d6fdb5</t>
  </si>
  <si>
    <t>4bc412af-1c45-4bb8-b79d-be831b1b65f5</t>
  </si>
  <si>
    <t>b3462386-3196-4171-bc26-f954be9be15e</t>
  </si>
  <si>
    <t>18997335-98e0-47b3-89a5-2d1fd1515e94</t>
  </si>
  <si>
    <t>2af74ac1-35af-4797-a9fa-9ae688180ba1</t>
  </si>
  <si>
    <t>8316f9b9-895c-46d0-af28-dee3bfcd140f</t>
  </si>
  <si>
    <t>b091f1fb-04c5-4496-b4a9-89a9aed03945</t>
  </si>
  <si>
    <t>453c10fb-38dd-4749-9d3b-9d949fb085b0</t>
  </si>
  <si>
    <t>4933f5ce-8c6e-4774-ba1c-45f12cdd504b</t>
  </si>
  <si>
    <t>fe69cc93-2d13-4b35-aab4-2097a6e0663c</t>
  </si>
  <si>
    <t>08764762-0a2f-4f4e-b3e6-6067d3c70d7a</t>
  </si>
  <si>
    <t>5645c367-ee12-42c7-9488-1d56d4eb9085</t>
  </si>
  <si>
    <t>f486d99e-5e8e-47a0-b02f-050315b005db</t>
  </si>
  <si>
    <t>715d25c3-3aaa-416f-82ba-37104ea76da4</t>
  </si>
  <si>
    <t>468dcecf-a3e1-47b0-9c3e-2a9d00f5e7cf</t>
  </si>
  <si>
    <t>c54562b9-8243-4aae-9a7f-5c7764fac22e</t>
  </si>
  <si>
    <t>08764762-0a2f-4f4e-b3e6-6067d3c70d77</t>
  </si>
  <si>
    <t>db5c6183-d98f-43ca-85b4-6f477da4598c</t>
  </si>
  <si>
    <t>7add3b40-490d-42c2-8757-32011acc51fh</t>
  </si>
  <si>
    <t>PLN</t>
  </si>
  <si>
    <t>EUR</t>
  </si>
  <si>
    <t>GBP</t>
  </si>
  <si>
    <t>Nr of traders</t>
  </si>
  <si>
    <t>Overall gross bookings</t>
  </si>
  <si>
    <t>Average amount of failed transactions per country</t>
  </si>
  <si>
    <t>Values</t>
  </si>
  <si>
    <t>Number of Traders</t>
  </si>
  <si>
    <t>Average gross bookings</t>
  </si>
  <si>
    <t>SUM of Completed transsactions</t>
  </si>
  <si>
    <t>Suma całkowita</t>
  </si>
  <si>
    <t>Week</t>
  </si>
  <si>
    <t>Transactions overall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</si>
</sst>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&quot;/&quot;yyyy"/>
    <numFmt numFmtId="165" formatCode="#,##0.00;(#,##0.00)"/>
  </numFmts>
  <fonts count="9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i/>
      <color theme="1"/>
      <name val="Arial"/>
    </font>
    <font>
      <b/>
      <sz val="11.0"/>
      <color rgb="FF000000"/>
      <name val="Consolas"/>
    </font>
    <font>
      <b/>
      <color rgb="FFFFFFFF"/>
      <name val="Arial"/>
    </font>
    <font>
      <b/>
      <color theme="1"/>
      <name val="Arial"/>
    </font>
    <font>
      <b/>
      <color rgb="FFCC0000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C9DAF8"/>
        <bgColor rgb="FFC9DAF8"/>
      </patternFill>
    </fill>
  </fills>
  <borders count="3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3" fontId="4" numFmtId="0" xfId="0" applyAlignment="1" applyFill="1" applyFont="1">
      <alignment horizontal="left"/>
    </xf>
    <xf borderId="1" fillId="4" fontId="5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6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shrinkToFit="0" vertical="center" wrapText="1"/>
    </xf>
    <xf borderId="0" fillId="5" fontId="6" numFmtId="0" xfId="0" applyAlignment="1" applyFill="1" applyFont="1">
      <alignment horizontal="center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0" fillId="3" fontId="2" numFmtId="0" xfId="0" applyAlignment="1" applyFont="1">
      <alignment horizontal="left" vertical="center"/>
    </xf>
    <xf borderId="0" fillId="3" fontId="2" numFmtId="0" xfId="0" applyAlignment="1" applyFont="1">
      <alignment horizontal="center" vertical="center"/>
    </xf>
    <xf borderId="0" fillId="0" fontId="8" numFmtId="0" xfId="0" applyFont="1"/>
    <xf borderId="0" fillId="0" fontId="2" numFmtId="2" xfId="0" applyAlignment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2" xfId="0" applyFont="1" applyNumberFormat="1"/>
    <xf borderId="2" fillId="5" fontId="6" numFmtId="0" xfId="0" applyAlignment="1" applyBorder="1" applyFont="1">
      <alignment horizontal="center" shrinkToFit="0" vertical="center" wrapText="1"/>
    </xf>
    <xf borderId="2" fillId="5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2" fillId="0" fontId="2" numFmtId="164" xfId="0" applyAlignment="1" applyBorder="1" applyFont="1" applyNumberFormat="1">
      <alignment horizontal="center" vertical="center"/>
    </xf>
    <xf borderId="2" fillId="0" fontId="2" numFmtId="0" xfId="0" applyBorder="1" applyFont="1"/>
    <xf borderId="0" fillId="0" fontId="2" numFmtId="164" xfId="0" applyFont="1" applyNumberFormat="1"/>
    <xf borderId="0" fillId="0" fontId="2" numFmtId="0" xfId="0" applyAlignment="1" applyFont="1">
      <alignment readingOrder="0" shrinkToFit="0" wrapText="1"/>
    </xf>
    <xf borderId="0" fillId="0" fontId="2" numFmtId="165" xfId="0" applyFont="1" applyNumberFormat="1"/>
    <xf borderId="0" fillId="0" fontId="2" numFmtId="0" xfId="0" applyAlignment="1" applyFont="1">
      <alignment shrinkToFit="0" wrapText="1"/>
    </xf>
    <xf borderId="0" fillId="3" fontId="1" numFmtId="0" xfId="0" applyAlignment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Overall gross bookings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Analysis!$C$1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Analysis!$B$2:$B$6</c:f>
            </c:strRef>
          </c:cat>
          <c:val>
            <c:numRef>
              <c:f>Analysis!$C$2:$C$6</c:f>
              <c:numCache/>
            </c:numRef>
          </c:val>
          <c:smooth val="0"/>
        </c:ser>
        <c:axId val="681883342"/>
        <c:axId val="727444579"/>
      </c:lineChart>
      <c:catAx>
        <c:axId val="6818833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27444579"/>
      </c:catAx>
      <c:valAx>
        <c:axId val="727444579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Overall gross bookings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FFFFFF"/>
                </a:solidFill>
                <a:latin typeface="+mn-lt"/>
              </a:defRPr>
            </a:pPr>
          </a:p>
        </c:txPr>
        <c:crossAx val="68188334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Overall transactions</a:t>
            </a:r>
          </a:p>
        </c:rich>
      </c:tx>
      <c:layout>
        <c:manualLayout>
          <c:xMode val="edge"/>
          <c:yMode val="edge"/>
          <c:x val="0.02903846153846154"/>
          <c:y val="0.0437888198757764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v>Transactions overall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Analysis!$B$2:$B$5</c:f>
            </c:strRef>
          </c:cat>
          <c:val>
            <c:numRef>
              <c:f>Analysis!$D$2:$D$5</c:f>
              <c:numCache/>
            </c:numRef>
          </c:val>
          <c:smooth val="0"/>
        </c:ser>
        <c:axId val="769891690"/>
        <c:axId val="1020524728"/>
      </c:lineChart>
      <c:catAx>
        <c:axId val="7698916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20524728"/>
      </c:catAx>
      <c:valAx>
        <c:axId val="1020524728"/>
        <c:scaling>
          <c:orientation val="minMax"/>
          <c:max val="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Overall transactions</a:t>
                </a:r>
              </a:p>
            </c:rich>
          </c:tx>
          <c:layout>
            <c:manualLayout>
              <c:xMode val="edge"/>
              <c:yMode val="edge"/>
              <c:x val="0.03208255159474672"/>
              <c:y val="0.145445134575569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FFFFFF"/>
                </a:solidFill>
                <a:latin typeface="+mn-lt"/>
              </a:defRPr>
            </a:pPr>
          </a:p>
        </c:txPr>
        <c:crossAx val="769891690"/>
      </c:valAx>
    </c:plotArea>
    <c:legend>
      <c:legendPos val="r"/>
      <c:layout>
        <c:manualLayout>
          <c:xMode val="edge"/>
          <c:yMode val="edge"/>
          <c:x val="0.7253781660412758"/>
          <c:y val="0.14855072463768115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9</xdr:row>
      <xdr:rowOff>9525</xdr:rowOff>
    </xdr:from>
    <xdr:ext cx="4953000" cy="3067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95250</xdr:colOff>
      <xdr:row>9</xdr:row>
      <xdr:rowOff>28575</xdr:rowOff>
    </xdr:from>
    <xdr:ext cx="5076825" cy="30670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444" sheet="Data"/>
  </cacheSource>
  <cacheFields>
    <cacheField name="Trader ID" numFmtId="0">
      <sharedItems>
        <s v="13ba2434-3f15-4a6c-8fb2-971d4edbc878"/>
        <s v="d3f25e71-f59d-4281-b78a-c559b5e1d9e3"/>
        <s v="f7388d83-5906-4df5-9fc9-5ee5438f0a5d"/>
        <s v="39f3a680-56e7-4b2b-a706-94319a1da61e"/>
        <s v="63dc8854-5507-4bbc-b2e0-73e312a05bef"/>
        <s v="1308203b-4a46-4f50-b4d7-a762dfe62146"/>
        <s v="c2d1b451-32e8-458b-98f7-bbacb52cf739"/>
        <s v="6a741918-1ba5-462d-963a-96bd8bc0cd7f"/>
        <s v="f66db0dd-6f7d-4438-a70f-3a452f276824"/>
        <s v="6300619f-2b1f-47e2-bb23-c43e45bca55d"/>
        <s v="d6493a28-7324-4884-a0e8-b453f98ede84"/>
        <s v="a9ffd244-5521-4aa2-983d-fcad2b2737b6"/>
        <s v="1ac91d0a-4da2-4c01-b38f-0cf9dd87fdc6"/>
        <s v="34073b27-326b-4885-9b39-4e34c326c29b"/>
        <s v="044b6a93-0a3b-4d5f-83ce-bf7cd8ff7c64"/>
        <s v="482ef93a-3192-48da-b5a7-fdec50c860b6"/>
        <s v="654fa1a8-0ae8-43fd-8d4d-d9a20c3695b7"/>
        <s v="27072524-27a7-4e29-b5c4-6e52f2533c45"/>
        <s v="7ad59c70-12a2-4818-bee1-514b83dd37bb"/>
        <s v="6261c8d9-ccc0-48ba-9015-76fd661ce9ef"/>
        <s v="1b881084-5659-4d8b-b86f-c0d89c8819d6"/>
        <s v="96f5ac8f-4723-47f4-8300-380ed21bc6e7"/>
        <s v="d250466a-c56f-4e71-8ea7-dad0a5b2ffea"/>
        <s v="fc678aaf-db1b-473d-a5b1-4658990fa530"/>
        <s v="e45cfd06-5301-4af4-858d-54ca4de59f79"/>
        <s v="01022828-82cf-4ec2-8cde-1eed07632fb6"/>
        <s v="0a062c77-77f1-40bb-bf75-23b37aaa17ea"/>
        <s v="0249f184-5b67-469d-a05e-ab2f7f7af959"/>
        <s v="4a2a53f5-f0f4-40d2-aec5-56c24c63760d"/>
        <s v="01f87bd6-b1a9-4143-9a2f-d785ab4ddbc2"/>
        <s v="3084d2c8-b970-41bd-b994-8548873931c5"/>
        <s v="993236a1-4fa5-4249-9228-af02bedc5a3a"/>
        <s v="39cf7de0-4ee7-439f-9487-2b54fc807813"/>
        <s v="b7cfebfd-ad3b-4c7c-9ab9-99e0f8c4444d"/>
        <s v="cccc860e-279d-4a31-84e2-57f1b5171017"/>
        <s v="fa37b3f0-bbbe-4fe2-8e65-93529e065ddc"/>
        <s v="6187e698-f6c0-4e9d-88cb-f5265c58bf4a"/>
        <s v="fb3a15c1-d3c3-4f4f-b8ed-2113bd9c4f68"/>
        <s v="8366c09f-fd56-4a04-946e-3d1fad10d00a"/>
        <s v="6a10af0e-e274-406a-ad5e-a931989b2e20"/>
        <s v="3858513f-9523-4c89-9df4-3ef62acaf07e"/>
        <s v="96451d57-9d2d-4009-8d98-8a81709aaab3"/>
        <s v="96f0ec72-4a0e-4ecf-8ac1-9b525db89657"/>
        <s v="4155b144-d4df-4123-8b7a-db4feb5c4400"/>
        <s v="10a27859-3889-4a62-92b3-2ea7d168e668"/>
        <s v="bf4c1c3b-77b0-4bc6-aff9-2062d5747e79"/>
        <s v="4b41daf3-3a4e-4734-8af2-46cbb237e810"/>
        <s v="028e33e1-53ce-4d8e-a32b-68a0cda8e5fb"/>
        <s v="80f78519-0b66-42fa-b173-6c602bd0fb56"/>
        <s v="ecc16b34-df78-42ba-9a83-bf5ca441db00"/>
        <s v="d894e29d-c9ec-43fc-94ce-f6b4d1b81294"/>
        <s v="e5f5e164-253d-4a32-a65e-6a008f77b444"/>
        <s v="b8cbb745-9e1a-44e6-b19f-16fe0ce167e4"/>
        <s v="8106cb53-e8b7-4d6e-ad1b-c82cac7624c6"/>
        <s v="d781564c-61ae-4ed2-99d4-765e00b4801e"/>
        <s v="0496023c-8ad6-4a4c-9edb-2aed81f41c7e"/>
        <s v="1e18b6a6-eec1-4f4c-8ad7-e13b496ad43e"/>
        <s v="47e81ae8-19b8-4512-86e4-d96a17e44d38"/>
        <s v="0315331f-e6e7-4229-b89c-5c161e90b4c4"/>
        <s v="6da0038d-2db4-4b96-96f2-608a0aa1ff04"/>
        <s v="85ffb048-8f87-493a-b453-d7d9d300dfbb"/>
        <s v="040b5c57-bbcd-491e-9168-21b2d807f924"/>
        <s v="6146b9ba-321d-43b4-8066-db955face27b"/>
        <s v="890d2a84-f303-4c19-96ad-1904c62c4797"/>
        <s v="aa51a7a1-a778-4464-ba35-408ed0d06819"/>
        <s v="31b85576-c3ee-484b-978e-8e2cb84c955e"/>
        <s v="23834b2a-3db6-443e-9612-a1f98db04b81"/>
        <s v="51bae29f-bc88-44b5-b05d-5687a8a83720"/>
        <s v="e3f3b31e-0af8-4d02-9bcc-4423ad8a97a9"/>
        <s v="d1c277ca-161d-4581-9fc7-b3114d590712"/>
        <s v="7a6aca2a-2fb8-4dc1-a6b2-4723b607bbb8"/>
        <s v="7957a0aa-5256-4898-b7ae-c3aacd600289"/>
        <s v="11e241a8-48eb-4d58-9c2f-f1b0c4f70651"/>
        <s v="53fd2bf4-307e-445e-8464-75a43b2ec730"/>
        <s v="1d8b79bd-3615-4236-a1b7-a8edb16c8a07"/>
        <s v="31fba148-bcab-41cd-a2a0-423901e3df55"/>
        <s v="03568fa1-9357-405b-8fa9-cc136f9b5391"/>
        <s v="55542419-044e-4cd7-84e6-975780911173"/>
        <s v="14768b32-9c82-4e5c-b220-443f5b19e3e3"/>
        <s v="caa3110f-e624-4f30-88e9-6f88f1b71129"/>
        <s v="3bd92f94-508a-4ad8-b95d-24ce7e6e288e"/>
        <s v="b52e4d01-bd8b-4b83-96b0-1760995c09f9"/>
        <s v="0efa2ab0-07dd-4cc1-a6ff-6cd205147227"/>
        <s v="b757ff69-cc47-429e-a214-c270396205bf"/>
        <s v="28634f6f-3c44-4e8c-b450-08c0bd9c8d00"/>
        <s v="f295b181-360f-4d85-b6ae-d32ea9493b80"/>
        <s v="52c88cf3-ed6f-40f3-95a4-2ae2ba4dc743"/>
        <s v="9acdc63d-7516-45b9-b49c-032c92cca905"/>
        <s v="4eeddb18-7bab-484c-94e3-c265e0ab4fd8"/>
        <s v="0d8ee126-63db-4461-ba90-532bea50e3f6"/>
        <s v="25ca6117-3fed-4859-8cab-863863fe600b"/>
        <s v="d30d4a3e-b049-459b-83ab-b06a35c6415a"/>
        <s v="d3d10171-8548-4095-b591-7ada1e38ec8a"/>
        <s v="f77320db-b7c0-425a-95b2-2cb7a56cf7ee"/>
        <s v="8a843165-5331-4921-a0c0-bc5fb7f83d23"/>
        <s v="67e81f84-545f-4bfb-ab8e-07ae6aea19a9"/>
        <s v="f12cb33a-d952-4c35-9f50-797eba8f7156"/>
        <s v="4d7d2a11-c989-48e9-845c-047aa194bb70"/>
        <s v="bf35d089-db01-4cf9-9472-9693659275fe"/>
        <s v="6918fb7f-1c4d-4525-a24a-bc5c952a330e"/>
        <s v="81e70951-e499-4508-8ee2-5bad59e72ded"/>
        <s v="edb75883-24df-4a23-9e71-633dd51f785a"/>
        <s v="02ce85b1-3f02-4974-8f97-ceabe0ffa5c7"/>
        <s v="2f1a65e0-1ba2-4e7d-8215-3eeaf6cbd01d"/>
        <s v="b170515f-6f3a-4455-8559-f1c58251532c"/>
        <s v="145e8d7e-e92d-4949-89f6-0b85dd427992"/>
        <s v="1878a50c-bb58-4c53-b69c-0e61ee6d0959"/>
        <s v="c10f06ee-28a6-4557-a8d5-933aa7aa7844"/>
        <s v="52dca8bf-167c-4509-a536-9d7bb83db4dc"/>
        <s v="1d799b9a-ca5a-465f-a58e-bd95d6ee3af3"/>
        <s v="4a1b1320-c994-4e53-af2f-cc1776a7ca85"/>
        <s v="bd0cbced-3523-49d4-9589-da277b1ab8a6"/>
        <s v="ea61dfb7-87a9-4262-b371-ca8d1350b9c2"/>
        <s v="46ae29a2-b974-4bcb-8d78-36515dc02fd5"/>
        <s v="13819e8f-dbb4-4298-97c4-83a579556785"/>
        <s v="c3b89ab8-c3dc-4c43-8459-3ea38b817cd8"/>
        <s v="66731b86-79d3-43ff-bb4a-8cab4f55bdb4"/>
        <s v="8eb5501b-0ee3-40bc-8f4e-1f8fd7a6ade4"/>
        <s v="0c541de3-59fb-4358-bed9-323f180800d8"/>
        <s v="35a82793-084f-493d-a34a-54ff271d735a"/>
        <s v="2db77bc5-f3a4-499c-99fb-e01e62b3b408"/>
        <s v="9a68898e-01a1-4d6e-b5fa-0d9617245e60"/>
        <s v="5d6b1cdc-4f73-4ba0-a5ba-210109d72667"/>
        <s v="cc4f6bd7-537c-4981-9809-459049725c06"/>
        <s v="6d9944c9-8b73-43d2-ac94-c140233634bs"/>
        <s v="ca0ab00c-57bf-4a74-a79a-250bc67889b9"/>
        <s v="1ae178b9-5a92-4ce6-9cd2-0536ac786ff6"/>
        <s v="5fb619f8-ec50-47de-8a84-3829cb8862a8"/>
        <s v="165d97f1-2255-462f-9b3b-ef1bdcff2cbg"/>
        <s v="a1256fa6-95a1-4b76-8b24-f0c72647538f"/>
        <s v="2079f9db-0707-4c61-b9b4-03e904a904ff"/>
        <s v="927cbe9e-6c48-4274-8375-1f10c0cb7ad5"/>
        <s v="7a43005f-a8ee-4c46-9d56-7543a354be1h"/>
        <s v="288a151f-5c54-4b43-a969-72705bf13715"/>
        <s v="fb93fc87-48c0-4a6d-83c6-654a6efe173n"/>
        <s v="b6fb1384-4414-4bf9-9c28-af52538d5048"/>
        <s v="f500a8e5-79c6-4792-9d4c-66616d1c5506"/>
        <s v="ae372fb4-0d5b-4afd-bbf9-7a58454d9370"/>
        <s v="3c2fd31a-f104-402e-ad65-b6d613bb072m"/>
        <s v="56779c78-fd2e-4c36-8af6-a394b4c08f96"/>
        <s v="29c33478-d4dd-4668-abc1-cba3af0aa5e5"/>
        <s v="001dc755-ba87-47ac-8464-47e6c7fb9ed5"/>
        <s v="3e5e7448-2215-40db-b103-2ccfcb9f233q"/>
        <s v="2ccdcf54-f9cb-4b2f-b5ac-cd3fb956e33e"/>
        <s v="c1dcd5c1-7dc0-4c3d-89f3-110318f0c8f5"/>
        <s v="d48a4781-9cb4-4a88-bc67-0a8276d6f676"/>
        <s v="6974dec2-98aa-48f0-bc9d-6d71254ff71w"/>
        <s v="734cafc0-e649-47f7-ae9b-4cc025061a14"/>
        <s v="aa6583d6-5de2-4ad9-8472-db89f8696eey"/>
        <s v="dee6e575-7ce1-464f-9ac0-7f7487b241e6"/>
        <s v="73510660-f025-4d95-b971-f1a831b727bd"/>
        <s v="0a6400a9-1eea-420c-903f-50825d0969c8"/>
        <s v="22c62867-249a-4f5f-b2a5-1bb97765c3b2"/>
        <s v="68d13614-8753-4afe-b781-9bb7f629a08k"/>
        <s v="167be78d-a59e-40d6-9ae3-0e30c56dcb97"/>
        <s v="2d6e61e0-9865-4cdb-b86f-48eacaecf89a"/>
        <s v="b04c0884-0345-4c6a-8300-26baa15bf243"/>
        <s v="ce4ea715-d32f-45dd-9150-8f600184f5b0"/>
        <s v="3c76d045-69b4-4abc-88be-5f08785d98e1"/>
        <s v="0eb61463-1dd6-4bf7-8298-5c1c8702826h"/>
        <s v="b3aa4a39-8c7d-480e-951a-df805c211e4u"/>
        <s v="77135e29-d302-4a0a-835e-3cd7ab4bd7a7"/>
        <s v="c4c3e6c0-e880-4432-a618-444c9a453526"/>
        <s v="194474c1-7c19-46f7-8dec-f71591a69657"/>
        <s v="b6fdc287-acce-4146-9e28-54a5b2a70ec6"/>
        <s v="b2eff025-a03b-462a-bf72-01fb7cc545e9"/>
        <s v="72c6cab0-6331-4be2-b221-d958049c0bc3"/>
        <s v="fad769ad-ca83-4ecd-9789-787625b5ad0g"/>
        <s v="6498c12c-5d53-4234-a952-d669f5da80c5"/>
        <s v="eb0bd060-3e80-4760-a7c8-f406e63b21eg"/>
        <s v="50044743-5d1e-4272-a3f2-8907033f0f59"/>
        <s v="2af11deb-b5d3-459a-8ff8-105086ee007h"/>
        <s v="3605dd8b-482d-480a-b576-ed7582f467cj"/>
        <s v="7761bfe5-39d2-4335-8a22-c83f154b724x"/>
        <s v="34051478-ed34-4deb-bc6f-4577a222ae44"/>
        <s v="f35328c9-1081-47cd-b50f-e16acd3c85bj"/>
        <s v="91df809a-ae78-47aa-a618-f23df1319985"/>
        <s v="4d397b3b-5009-49ed-9ce0-856e9cd423av"/>
        <s v="61b5e379-18f0-4751-8442-eb1726fd90d5"/>
        <s v="538a5ca2-c53b-47b4-b8da-2c8ec1c9507t"/>
        <s v="206820bd-e993-4d07-895b-2846b19df2f7"/>
        <s v="854ff8a4-34aa-4ec0-9672-7bb66e1bb90p"/>
        <s v="fe832000-15ce-471f-a1b1-449f3c280fe3"/>
        <s v="59199ee6-f72a-4719-bb4c-d484a9657a6b"/>
        <s v="3533d78c-df19-496a-bfcc-75a523b0ce37"/>
        <s v="a043c0b7-294c-4997-b488-520126daac26"/>
        <s v="436b5a18-871b-4f5c-8378-02bc71c62ae8"/>
        <s v="fb93fc87-48c0-4a6d-83c6-654a6efe173a"/>
        <s v="9a68898e-01a1-4d6e-b5fa-0d9617245e63"/>
        <s v="8eb5501b-0ee3-40bc-8f4e-1f8fd7a6adeb"/>
        <s v="b6fdc287-acce-4146-9e28-54a5b2a70ecf"/>
        <s v="b04c0884-0345-4c6a-8300-26baa15bf240"/>
        <s v="194474c1-7c19-46f7-8dec-f71591a6965f"/>
        <s v="854ff8a4-34aa-4ec0-9672-7bb66e1bb909"/>
        <s v="35eae0d3-ff3e-452b-9664-68e907d4e70k"/>
        <s v="538a5ca2-c53b-47b4-b8da-2c8ec1c95078"/>
        <s v="34051478-ed34-4deb-bc6f-4577a222ae4a"/>
        <s v="91df809a-ae78-47aa-a618-f23df1319988"/>
        <s v="4eb6f8ee-120d-4b4d-b702-67225c493fa3"/>
        <s v="f82160bd-df11-464c-80f2-5926b2c72bcv"/>
        <s v="906a2dd5-fb83-4a78-a7f0-f4c1f9e21567"/>
        <s v="c3b89ab8-c3dc-4c43-8459-3ea38b817cdd"/>
        <s v="ea61dfb7-87a9-4262-b371-ca8d1350b9c5"/>
        <s v="c1dcd5c1-7dc0-4c3d-89f3-110318f0c8f0"/>
        <s v="b6fb1384-4414-4bf9-9c28-af52538d5042"/>
        <s v="0eb61463-1dd6-4bf7-8298-5c1c87028262"/>
        <s v="b6fb1384-4414-4bf9-9c28-af52538d5045"/>
        <s v="22c62867-249a-4f5f-b2a5-1bb97765c3b7"/>
        <s v="3c2fd31a-f104-402e-ad65-b6d613bb072a"/>
        <s v="2d6e61e0-9865-4cdb-b86f-48eacaecf896"/>
        <s v="fe832000-15ce-471f-a1b1-449f3c280fee"/>
        <s v="77135e29-d302-4a0a-835e-3cd7ab4bd7af"/>
        <s v="2af11deb-b5d3-459a-8ff8-105086ee007b"/>
        <s v="70481fe9-ff12-46ee-b8b7-3f9013883471"/>
        <s v="4a9fea40-de3b-41b4-b1e9-6ad5bc792c4r"/>
        <s v="46ae29a2-b974-4bcb-8d78-36515dc02fd2"/>
        <s v="d48a4781-9cb4-4a88-bc67-0a8276d6f675"/>
        <s v="6974dec2-98aa-48f0-bc9d-6d71254ff71c"/>
        <s v="66731b86-79d3-43ff-bb4a-8cab4f55bdb3"/>
        <s v="b2eff025-a03b-462a-bf72-01fb7cc545eb"/>
        <s v="a043c0b7-294c-4997-b488-520126daac28"/>
        <s v="3605dd8b-482d-480a-b576-ed7582f467c7"/>
        <s v="13819e8f-dbb4-4298-97c4-83a579556789"/>
        <s v="0c541de3-59fb-4358-bed9-323f180800d4"/>
        <s v="35a82793-084f-493d-a34a-54ff271d7355"/>
        <s v="2db77bc5-f3a4-499c-99fb-e01e62b3b40a"/>
        <s v="5d6b1cdc-4f73-4ba0-a5ba-210109d7266a"/>
        <s v="cc4f6bd7-537c-4981-9809-459049725c0c"/>
        <s v="6d9944c9-8b73-43d2-ac94-c140233634be"/>
        <s v="ca0ab00c-57bf-4a74-a79a-250bc67889ba"/>
        <s v="1ae178b9-5a92-4ce6-9cd2-0536ac786ff1"/>
        <s v="5fb619f8-ec50-47de-8a84-3829cb8862a1"/>
        <s v="165d97f1-2255-462f-9b3b-ef1bdcff2cb8"/>
        <s v="a1256fa6-95a1-4b76-8b24-f0c72647538c"/>
        <s v="2079f9db-0707-4c61-b9b4-03e904a904f3"/>
        <s v="927cbe9e-6c48-4274-8375-1f10c0cb7adc"/>
        <s v="7a43005f-a8ee-4c46-9d56-7543a354be19"/>
        <s v="288a151f-5c54-4b43-a969-72705bf13710"/>
        <s v="f500a8e5-79c6-4792-9d4c-66616d1c5503"/>
        <s v="ae372fb4-0d5b-4afd-bbf9-7a58454d9372"/>
        <s v="56779c78-fd2e-4c36-8af6-a394b4c08f91"/>
        <s v="29c33478-d4dd-4668-abc1-cba3af0aa5ee"/>
        <s v="001dc755-ba87-47ac-8464-47e6c7fb9ed0"/>
        <s v="3e5e7448-2215-40db-b103-2ccfcb9f233f"/>
        <s v="2ccdcf54-f9cb-4b2f-b5ac-cd3fb956e333"/>
        <s v="734cafc0-e649-47f7-ae9b-4cc025061a19"/>
        <s v="aa6583d6-5de2-4ad9-8472-db89f8696ee6"/>
        <s v="dee6e575-7ce1-464f-9ac0-7f7487b241e4"/>
        <s v="73510660-f025-4d95-b971-f1a831b727b6"/>
        <s v="0a6400a9-1eea-420c-903f-50825d0969c4"/>
        <s v="68d13614-8753-4afe-b781-9bb7f629a08d"/>
        <s v="167be78d-a59e-40d6-9ae3-0e30c56dcb93"/>
        <s v="ce4ea715-d32f-45dd-9150-8f600184f5b3"/>
        <s v="3c76d045-69b4-4abc-88be-5f08785d98e5"/>
        <s v="b3aa4a39-8c7d-480e-951a-df805c211e46"/>
        <s v="c4c3e6c0-e880-4432-a618-444c9a453520"/>
        <s v="72c6cab0-6331-4be2-b221-d958049c0bc8"/>
        <s v="fad769ad-ca83-4ecd-9789-787625b5ad01"/>
        <s v="6498c12c-5d53-4234-a952-d669f5da80c3"/>
        <s v="eb0bd060-3e80-4760-a7c8-f406e63b21e8"/>
        <s v="50044743-5d1e-4272-a3f2-8907033f0f5f"/>
        <s v="7761bfe5-39d2-4335-8a22-c83f154b724e"/>
        <s v="f35328c9-1081-47cd-b50f-e16acd3c85b5"/>
        <s v="4d397b3b-5009-49ed-9ce0-856e9cd423a0"/>
        <s v="61b5e379-18f0-4751-8442-eb1726fd90d0"/>
        <s v="206820bd-e993-4d07-895b-2846b19df2f3"/>
        <s v="59199ee6-f72a-4719-bb4c-d484a9657a6a"/>
        <s v="3533d78c-df19-496a-bfcc-75a523b0ce3e"/>
        <s v="436b5a18-871b-4f5c-8378-02bc71c62aec"/>
        <s v="70481fe9-ff12-46ee-b8b7-3f901388347b"/>
        <s v="4a9fea40-de3b-41b4-b1e9-6ad5bc792c4f"/>
        <s v="35eae0d3-ff3e-452b-9664-68e907d4e707"/>
        <s v="906a2dd5-fb83-4a78-a7f0-f4c1f9e21562"/>
        <s v="4eb6f8ee-120d-4b4d-b702-67225c493fab"/>
        <s v="f82160bd-df11-464c-80f2-5926b2c72bcd"/>
        <s v="835bc704-0e2b-4cde-8574-721b40442b4a"/>
        <s v="92656823-acf1-48a0-b9da-7d7ea8797a82"/>
        <s v="9d609b5f-1570-4200-98e1-0e70f5b81248"/>
        <s v="1e0dc9ba-a52d-42d7-b023-3b72150fadf0"/>
        <s v="cbf917d0-23c5-4e38-9c82-96d5eb9c6a62"/>
        <s v="65a46f29-8b9a-40a8-87bc-9be04237a0cc"/>
        <s v="11a97369-238a-4d4f-a27b-083e8df81a60"/>
        <s v="1060b623-1691-46e3-a10c-b6ea31e21a1f"/>
        <s v="765c842c-328c-4f43-b1f4-589a69edee7d"/>
        <s v="f86b7e5c-a327-48c2-aa80-c994d14d6e93"/>
        <s v="79083d03-9a51-40d7-85c1-f2419f2023cc"/>
        <s v="65d3ddaa-1579-4da5-bb3a-af99fa5f2b6d"/>
        <s v="e4f2680d-03b7-4c72-a59b-930d55600e16"/>
        <s v="1b99af62-89f4-46a5-9d9d-cc01aea55819"/>
        <s v="08ec59cc-81bd-4ef4-8a12-9f2408ed882f"/>
        <s v="c2fe1247-40ba-4a44-8bcf-02d1e9c71584"/>
        <s v="20f18f7f-7279-42c0-91a4-c7334e2a334f"/>
        <s v="3750aa69-e694-4589-aa5c-35624b24b163"/>
        <s v="4f352690-d3fe-42a1-941c-538073537ee8"/>
        <s v="75711b66-d06a-4714-b36c-94fe2206734b"/>
        <s v="fd2a507b-7caa-436c-b4e5-40f463cb4ec3"/>
        <s v="2c6bca2a-0829-4933-a7aa-85bd6cfc9e29"/>
        <s v="91d19ba3-f6de-486a-8df4-ee613db8a610"/>
        <s v="b03a1108-f265-4296-beb7-575c2e082763"/>
        <s v="33c59cc4-5757-4192-bd35-b5e7c1ba99de"/>
        <s v="260dbda5-14ea-40a9-a62f-2d87431d6f29"/>
        <s v="88025745-439f-44b9-8312-8b8a6825d27b"/>
        <s v="31bba2e7-d1fe-41cd-be5c-e3636a0667d9"/>
        <s v="036f3605-ea52-4674-84a6-7e0d2f0353f3"/>
        <s v="8a5b6cb6-7623-4747-b6a8-ac073d224fc5"/>
        <s v="d9b80ba0-26fa-4c4a-9bc7-9b0e615ca42a"/>
        <s v="79a4c14d-c350-464f-9f18-ee9e0aacf663"/>
        <s v="4e1a1f74-acc4-48d8-9eeb-82d0cda150e2"/>
        <s v="f9dd35e9-3836-445c-ae43-dcba03f19752"/>
        <s v="ff664904-970d-4b4a-810d-39742ae7ed11"/>
        <s v="dec20699-a039-40e8-a8a0-6bcfbeb7d5f9"/>
        <s v="a4e911d2-3629-4955-8bfc-52540f7085a7"/>
        <s v="24838163-3996-4459-92db-9f0fc24919f8"/>
        <s v="5444739b-f358-46a1-9355-3671cbaa2dea"/>
        <s v="39a5eb8c-4c30-4fa8-8650-d06d6699ed25"/>
        <s v="bbe28a33-5f8c-4592-b86d-d94518ce9138"/>
        <s v="ab891a29-1aa7-419d-898b-0a4531cd071a"/>
        <s v="503df279-0d87-432f-a9c0-d2142e290d39"/>
        <s v="18e53e7e-277e-4fca-ad96-7461927a58e0"/>
        <s v="6cd4e310-54ae-4b84-a4a4-c8993ccaf468"/>
        <s v="1157d270-01cf-481b-b487-4028f582b098"/>
        <s v="2f9399a5-80b7-443c-8a8f-130632741075"/>
        <s v="cee372e5-6eb9-413d-9c3e-299e5dae8f27"/>
        <s v="7ae299a0-47b9-431e-9d07-df2029dee59d"/>
        <s v="bf3267d7-716f-4152-894b-923357d6bca8"/>
        <s v="1ccd7759-5d95-4dd8-9fb5-0a3c1db2ddb0"/>
        <s v="618db574-ae17-4e35-b8ed-e9b4436ba01c"/>
        <s v="2c9457d3-85d4-4eaa-9636-fcecd2c9920b"/>
        <s v="c0b4cae2-af04-411b-84ad-3e0afa9f117b"/>
        <s v="b297b739-f8fe-4824-a6c1-8bca87382010"/>
        <s v="b94134e5-0461-4c44-8546-4ffc413d3f98"/>
        <s v="c9b6076d-6132-48b1-9537-bbc827a7e224"/>
        <s v="2b349a5e-df19-497c-8da8-1ccaafd6461e"/>
        <s v="c7acb219-5a1c-42ff-a32c-b6769f2505bd"/>
        <s v="a8745a0d-6dc8-4ea8-b668-e2c50b474ea4"/>
        <s v="3edbff60-5a8e-42e1-9d1d-367d0234796a"/>
        <s v="c986eca7-89bd-4820-affe-d55f29d67869"/>
        <s v="04e9a325-07dc-4fdf-989d-96c386de8229"/>
        <s v="47669223-1964-48c7-9e8c-1995306b01ef"/>
        <s v="45f8eba0-aa41-4552-a068-6fa6724f2be4"/>
        <s v="2a43dd5f-493d-4ce3-b5a9-5d4f5ae7f049"/>
        <s v="fd112c0f-03de-4353-b825-bec200df7ae6"/>
        <s v="6d1ecd55-5d28-4120-ae4a-fe49ad773625"/>
        <s v="73b755fd-77e8-488c-a975-b258235880ab"/>
        <s v="92f71135-4a71-4439-b4e4-75e416eb5e64"/>
        <s v="3bcc7e99-bf74-43f5-baea-e8734c661ea5"/>
        <s v="051884b6-9901-4ff4-98e6-5e4b2ec2074b"/>
        <s v="f39e8bb6-ed17-4778-90dc-bd9f91b9170b"/>
        <s v="70aaa1d5-4af4-418a-a630-dd72cfc0730a"/>
        <s v="5c61bc0a-a8b1-4359-b7b7-4141409cab8d"/>
        <s v="d2077931-9dfd-4e80-9fe2-f024edc041e8"/>
        <s v="e4356d39-4f00-4c67-af2c-d632bb8e1ac4"/>
        <s v="253588a9-b133-470d-9ff6-f23ab95c2f3e"/>
        <s v="36279c66-5e7e-45ed-ba22-682a60fbbb1a"/>
        <s v="16c622c7-3fa2-4e48-a6fb-7ccc7bd13193"/>
        <s v="5481e7d1-64c0-41ae-97ec-cf703b223a0c"/>
        <s v="d657a90d-09e0-4fc7-a41c-7f1965d0869e"/>
        <s v="82f96ede-f7f7-4530-8bcb-d479a0fbf451"/>
        <s v="661caff1-c5b1-4de3-9083-ca0d09602918"/>
        <s v="f1039260-5d87-43b0-b469-7de56ffffb0b"/>
        <s v="f0ca0739-bd0f-4f63-92b8-e6d31817728c"/>
        <s v="e5aa4400-ca94-40c4-a26e-5826fdf56e62"/>
        <s v="dfbfac93-e2dd-41a9-9f8e-82b3388cff68"/>
        <s v="f9772287-ac0c-41aa-86aa-3f1a0253f79c"/>
        <s v="39a7a0c1-6aa6-4b94-ae91-3c76040665e0"/>
        <s v="a5891e66-f7dd-435c-87b7-74aed3f05510"/>
        <s v="7292e77f-0fa1-4053-86aa-effc3a753600"/>
        <s v="fa91a859-d054-46e3-84df-0fa5b52679f6"/>
        <s v="af71c7ad-3dc0-4adc-b2da-87e33345f6e0"/>
        <s v="b4173f0b-b79e-4e44-8834-e3183ecf2c2a"/>
        <s v="3e80f727-4d9a-4607-a6ae-a8015eeb25dd"/>
        <s v="444e12e3-12a6-4884-a6e2-1824931a66b8"/>
        <s v="b16c4ae9-e07c-4878-b99d-b381214e2c4f"/>
        <s v="068075e9-c780-4f54-80c8-5aa0fab772ac"/>
        <s v="94074d04-5525-49a0-9f73-f9c23e7559ae"/>
        <s v="c3365fce-999f-4f1c-9ee9-ee10f65183f4"/>
        <s v="691b4c51-6081-4485-adb6-0459cdec820c"/>
        <s v="f09bab7b-cde8-4149-9eb2-7b6f1c3b7176"/>
        <s v="82fe1060-9250-46f5-b2bb-58d19582e247"/>
        <s v="d33e89d9-3414-4725-9f72-c52de0b20d55"/>
        <s v="323ac5f6-d709-43ca-be2b-cc1b9aaae0f9"/>
        <s v="5281fa79-abc2-43bb-9e68-08bc948c4e7f"/>
        <s v="cc69f56c-d4f1-4853-862d-627b38446a81"/>
        <s v="7add3b40-490d-42c2-8757-32011acc51fc"/>
        <s v="21c4491a-386a-4ffd-909f-32c14701fdc1"/>
        <s v="973f7dd9-2eaf-4a30-9dcc-3baf9a6b20f6"/>
        <s v="879b3fc5-9c0b-4661-afd4-8b96b1d2b38f"/>
        <s v="1f1da5af-6ef2-4756-98e9-543a2a01edb2"/>
        <s v="62119aa7-42d7-43c7-b01c-0d244f990aed"/>
        <s v="6c7bf407-ed07-40ce-a448-b58cc7128c7d"/>
        <s v="07340163-2177-455f-ace4-1e34f9d6fdb5"/>
        <s v="4bc412af-1c45-4bb8-b79d-be831b1b65f5"/>
        <s v="b3462386-3196-4171-bc26-f954be9be15e"/>
        <s v="18997335-98e0-47b3-89a5-2d1fd1515e94"/>
        <s v="2af74ac1-35af-4797-a9fa-9ae688180ba1"/>
        <s v="8316f9b9-895c-46d0-af28-dee3bfcd140f"/>
        <s v="b091f1fb-04c5-4496-b4a9-89a9aed03945"/>
        <s v="453c10fb-38dd-4749-9d3b-9d949fb085b0"/>
        <s v="4933f5ce-8c6e-4774-ba1c-45f12cdd504b"/>
        <s v="fe69cc93-2d13-4b35-aab4-2097a6e0663c"/>
        <s v="08764762-0a2f-4f4e-b3e6-6067d3c70d7a"/>
        <s v="5645c367-ee12-42c7-9488-1d56d4eb9085"/>
        <s v="f486d99e-5e8e-47a0-b02f-050315b005db"/>
        <s v="715d25c3-3aaa-416f-82ba-37104ea76da4"/>
        <s v="468dcecf-a3e1-47b0-9c3e-2a9d00f5e7cf"/>
        <s v="c54562b9-8243-4aae-9a7f-5c7764fac22e"/>
        <s v="08764762-0a2f-4f4e-b3e6-6067d3c70d77"/>
        <s v="db5c6183-d98f-43ca-85b4-6f477da4598c"/>
        <s v="7add3b40-490d-42c2-8757-32011acc51fh"/>
      </sharedItems>
    </cacheField>
    <cacheField name="Country" numFmtId="0">
      <sharedItems>
        <s v="Poland"/>
        <s v="UK"/>
        <s v="France"/>
        <s v="Spain"/>
      </sharedItems>
    </cacheField>
    <cacheField name="City" numFmtId="0">
      <sharedItems>
        <s v="Gdansk"/>
        <s v="Wroclaw"/>
        <s v="Lodz"/>
        <s v="Warsaw"/>
        <s v="Krakow"/>
        <s v="Poznan"/>
        <s v="Manchester"/>
        <s v="Birmingham"/>
        <s v="Liverpool"/>
        <s v="Nottingham"/>
        <s v="Bristol"/>
        <s v="London"/>
        <s v="Bordeaux"/>
        <s v="Toulouse"/>
        <s v="Lille"/>
        <s v="Paris"/>
        <s v="Nantes"/>
        <s v="Palma"/>
        <s v="Barcelona"/>
        <s v="Alicante"/>
        <s v="Seville"/>
        <s v="Zaragoza"/>
        <s v="Valencia"/>
        <s v="Madrid"/>
      </sharedItems>
    </cacheField>
    <cacheField name="Reporting_week" numFmtId="164">
      <sharedItems containsSemiMixedTypes="0" containsDate="1" containsString="0">
        <d v="2025-01-06T00:00:00Z"/>
        <d v="2025-01-13T00:00:00Z"/>
        <d v="2025-01-27T00:00:00Z"/>
        <d v="2025-01-20T00:00:00Z"/>
      </sharedItems>
    </cacheField>
    <cacheField name="Successful transactions" numFmtId="0">
      <sharedItems containsSemiMixedTypes="0" containsString="0" containsNumber="1" containsInteger="1">
        <n v="16.0"/>
        <n v="15.0"/>
        <n v="32.0"/>
        <n v="11.0"/>
        <n v="51.0"/>
        <n v="55.0"/>
        <n v="68.0"/>
        <n v="45.0"/>
        <n v="17.0"/>
        <n v="31.0"/>
        <n v="10.0"/>
        <n v="21.0"/>
        <n v="30.0"/>
        <n v="36.0"/>
        <n v="19.0"/>
        <n v="46.0"/>
        <n v="50.0"/>
        <n v="22.0"/>
        <n v="62.0"/>
        <n v="42.0"/>
        <n v="61.0"/>
        <n v="39.0"/>
        <n v="64.0"/>
        <n v="47.0"/>
        <n v="20.0"/>
        <n v="29.0"/>
        <n v="66.0"/>
        <n v="25.0"/>
        <n v="48.0"/>
        <n v="53.0"/>
        <n v="58.0"/>
        <n v="56.0"/>
        <n v="37.0"/>
        <n v="52.0"/>
        <n v="13.0"/>
        <n v="40.0"/>
        <n v="65.0"/>
        <n v="14.0"/>
        <n v="67.0"/>
        <n v="27.0"/>
        <n v="43.0"/>
        <n v="60.0"/>
        <n v="59.0"/>
        <n v="28.0"/>
        <n v="24.0"/>
        <n v="23.0"/>
        <n v="54.0"/>
        <n v="33.0"/>
        <n v="57.0"/>
        <n v="26.0"/>
        <n v="69.0"/>
        <n v="63.0"/>
        <n v="44.0"/>
        <n v="38.0"/>
        <n v="35.0"/>
        <n v="34.0"/>
        <n v="12.0"/>
        <n v="18.0"/>
        <n v="41.0"/>
        <n v="70.0"/>
        <n v="49.0"/>
      </sharedItems>
    </cacheField>
    <cacheField name="Failed transactions" numFmtId="0">
      <sharedItems containsSemiMixedTypes="0" containsString="0" containsNumber="1" containsInteger="1">
        <n v="0.0"/>
        <n v="3.0"/>
        <n v="5.0"/>
        <n v="4.0"/>
        <n v="2.0"/>
        <n v="1.0"/>
        <n v="6.0"/>
        <n v="7.0"/>
        <n v="8.0"/>
      </sharedItems>
    </cacheField>
    <cacheField name="Gross_bookings" numFmtId="0">
      <sharedItems containsSemiMixedTypes="0" containsString="0" containsNumber="1" containsInteger="1">
        <n v="1875.0"/>
        <n v="874.0"/>
        <n v="2269.0"/>
        <n v="658.0"/>
        <n v="3721.0"/>
        <n v="3377.0"/>
        <n v="4142.0"/>
        <n v="2716.0"/>
        <n v="1604.0"/>
        <n v="865.0"/>
        <n v="2463.0"/>
        <n v="685.0"/>
        <n v="1909.0"/>
        <n v="713.0"/>
        <n v="1741.0"/>
        <n v="2103.0"/>
        <n v="1610.0"/>
        <n v="1672.0"/>
        <n v="3208.0"/>
        <n v="3458.0"/>
        <n v="1816.0"/>
        <n v="4483.0"/>
        <n v="1704.0"/>
        <n v="2166.0"/>
        <n v="3940.0"/>
        <n v="2985.0"/>
        <n v="3979.0"/>
        <n v="4397.0"/>
        <n v="3289.0"/>
        <n v="1302.0"/>
        <n v="1484.0"/>
        <n v="3920.0"/>
        <n v="1873.0"/>
        <n v="1142.0"/>
        <n v="3596.0"/>
        <n v="3877.0"/>
        <n v="2817.0"/>
        <n v="3374.0"/>
        <n v="3865.0"/>
        <n v="3422.0"/>
        <n v="1177.0"/>
        <n v="2358.0"/>
        <n v="1232.0"/>
        <n v="747.0"/>
        <n v="1803.0"/>
        <n v="3716.0"/>
        <n v="2958.0"/>
        <n v="1278.0"/>
        <n v="2449.0"/>
        <n v="3558.0"/>
        <n v="4063.0"/>
        <n v="3221.0"/>
        <n v="1727.0"/>
        <n v="2032.0"/>
        <n v="4164.0"/>
        <n v="1923.0"/>
        <n v="955.0"/>
        <n v="4231.0"/>
        <n v="1628.0"/>
        <n v="2136.0"/>
        <n v="1309.0"/>
        <n v="3969.0"/>
        <n v="2379.0"/>
        <n v="2816.0"/>
        <n v="3621.0"/>
        <n v="3729.0"/>
        <n v="1865.0"/>
        <n v="2853.0"/>
        <n v="1591.0"/>
        <n v="3390.0"/>
        <n v="4342.0"/>
        <n v="1301.0"/>
        <n v="1771.0"/>
        <n v="2492.0"/>
        <n v="1890.0"/>
        <n v="3692.0"/>
        <n v="3035.0"/>
        <n v="3843.0"/>
        <n v="4418.0"/>
        <n v="2115.0"/>
        <n v="1204.0"/>
        <n v="4085.0"/>
        <n v="3249.0"/>
        <n v="2539.0"/>
        <n v="4324.0"/>
        <n v="2381.0"/>
        <n v="3953.0"/>
        <n v="3723.0"/>
        <n v="1191.0"/>
        <n v="964.0"/>
        <n v="2968.0"/>
        <n v="2360.0"/>
        <n v="1185.0"/>
        <n v="1847.0"/>
        <n v="4499.0"/>
        <n v="3161.0"/>
        <n v="2699.0"/>
        <n v="794.0"/>
        <n v="3704.0"/>
        <n v="1584.0"/>
        <n v="3308.0"/>
        <n v="4062.0"/>
        <n v="3092.0"/>
        <n v="1463.0"/>
        <n v="1528.0"/>
        <n v="2982.0"/>
        <n v="2626.0"/>
        <n v="3428.0"/>
        <n v="4432.0"/>
        <n v="4225.0"/>
        <n v="2109.0"/>
        <n v="1377.0"/>
        <n v="3504.0"/>
        <n v="3288.0"/>
        <n v="1746.0"/>
        <n v="3672.0"/>
        <n v="2749.0"/>
        <n v="1715.0"/>
        <n v="2901.0"/>
        <n v="1141.0"/>
        <n v="3017.0"/>
        <n v="774.0"/>
        <n v="3651.0"/>
        <n v="4104.0"/>
        <n v="2440.0"/>
        <n v="2403.0"/>
        <n v="4296.0"/>
        <n v="1095.0"/>
        <n v="1013.0"/>
        <n v="1077.0"/>
        <n v="2347.0"/>
        <n v="796.0"/>
        <n v="3551.0"/>
        <n v="1279.0"/>
        <n v="4141.0"/>
        <n v="4166.0"/>
        <n v="3736.0"/>
        <n v="2690.0"/>
        <n v="1389.0"/>
        <n v="2809.0"/>
        <n v="1395.0"/>
        <n v="2996.0"/>
        <n v="3573.0"/>
        <n v="2259.0"/>
        <n v="2509.0"/>
        <n v="3648.0"/>
        <n v="2472.0"/>
        <n v="1039.0"/>
        <n v="1558.0"/>
        <n v="2587.0"/>
        <n v="3460.0"/>
        <n v="2075.0"/>
        <n v="1852.0"/>
        <n v="839.0"/>
        <n v="3199.0"/>
        <n v="2787.0"/>
        <n v="2005.0"/>
        <n v="3179.0"/>
        <n v="2267.0"/>
        <n v="2928.0"/>
        <n v="837.0"/>
        <n v="4024.0"/>
        <n v="1402.0"/>
        <n v="2880.0"/>
        <n v="4173.0"/>
        <n v="3645.0"/>
        <n v="4221.0"/>
        <n v="909.0"/>
        <n v="3910.0"/>
        <n v="4325.0"/>
        <n v="2833.0"/>
        <n v="4413.0"/>
        <n v="2383.0"/>
        <n v="1729.0"/>
        <n v="1596.0"/>
        <n v="1599.0"/>
        <n v="2571.0"/>
        <n v="3494.0"/>
        <n v="1166.0"/>
        <n v="1461.0"/>
        <n v="1237.0"/>
        <n v="3386.0"/>
        <n v="3825.0"/>
        <n v="1924.0"/>
        <n v="4209.0"/>
        <n v="2960.0"/>
        <n v="1676.0"/>
        <n v="2145.0"/>
        <n v="1035.0"/>
        <n v="3502.0"/>
        <n v="2752.0"/>
        <n v="2612.0"/>
        <n v="4235.0"/>
        <n v="2629.0"/>
        <n v="4319.0"/>
        <n v="1045.0"/>
        <n v="1643.0"/>
        <n v="3091.0"/>
        <n v="2671.0"/>
        <n v="2592.0"/>
        <n v="3804.0"/>
        <n v="1068.0"/>
        <n v="3936.0"/>
        <n v="2841.0"/>
        <n v="3536.0"/>
        <n v="766.0"/>
        <n v="2920.0"/>
        <n v="1082.0"/>
        <n v="3512.0"/>
        <n v="3735.0"/>
        <n v="1046.0"/>
        <n v="2045.0"/>
        <n v="3882.0"/>
        <n v="3174.0"/>
        <n v="3609.0"/>
        <n v="4081.0"/>
        <n v="4090.0"/>
        <n v="4331.0"/>
        <n v="1333.0"/>
        <n v="1701.0"/>
        <n v="3853.0"/>
        <n v="4385.0"/>
        <n v="3340.0"/>
        <n v="4351.0"/>
        <n v="3005.0"/>
        <n v="4041.0"/>
        <n v="3368.0"/>
        <n v="1407.0"/>
        <n v="2561.0"/>
        <n v="1269.0"/>
        <n v="3369.0"/>
        <n v="4431.0"/>
        <n v="2303.0"/>
        <n v="2039.0"/>
        <n v="3146.0"/>
        <n v="3988.0"/>
        <n v="3769.0"/>
        <n v="3905.0"/>
        <n v="1282.0"/>
        <n v="2301.0"/>
        <n v="1162.0"/>
        <n v="1196.0"/>
        <n v="3392.0"/>
        <n v="1225.0"/>
        <n v="4299.0"/>
        <n v="4161.0"/>
        <n v="1984.0"/>
        <n v="1164.0"/>
        <n v="4168.0"/>
        <n v="2844.0"/>
        <n v="2476.0"/>
        <n v="1102.0"/>
        <n v="3266.0"/>
        <n v="4064.0"/>
        <n v="1034.0"/>
        <n v="4251.0"/>
        <n v="3511.0"/>
        <n v="1363.0"/>
        <n v="3827.0"/>
        <n v="4363.0"/>
        <n v="3143.0"/>
        <n v="1353.0"/>
        <n v="3714.0"/>
        <n v="3986.0"/>
        <n v="2011.0"/>
        <n v="2173.0"/>
        <n v="800.0"/>
        <n v="2042.0"/>
        <n v="1406.0"/>
        <n v="3248.0"/>
        <n v="1515.0"/>
        <n v="1167.0"/>
        <n v="757.0"/>
        <n v="1464.0"/>
        <n v="1824.0"/>
        <n v="3056.0"/>
        <n v="2961.0"/>
        <n v="873.0"/>
        <n v="1669.0"/>
        <n v="1827.0"/>
        <n v="3319.0"/>
        <n v="3747.0"/>
        <n v="1903.0"/>
        <n v="4189.0"/>
        <n v="3472.0"/>
        <n v="3943.0"/>
        <n v="4330.0"/>
        <n v="1445.0"/>
        <n v="1567.0"/>
        <n v="2019.0"/>
        <n v="1995.0"/>
        <n v="2110.0"/>
        <n v="2682.0"/>
        <n v="2219.0"/>
        <n v="2222.0"/>
        <n v="3578.0"/>
        <n v="3923.0"/>
        <n v="4006.0"/>
        <n v="3070.0"/>
        <n v="694.0"/>
        <n v="2006.0"/>
        <n v="4121.0"/>
        <n v="1284.0"/>
        <n v="1961.0"/>
        <n v="4269.0"/>
        <n v="1748.0"/>
        <n v="756.0"/>
        <n v="2731.0"/>
        <n v="4332.0"/>
        <n v="1255.0"/>
        <n v="4248.0"/>
        <n v="1010.0"/>
        <n v="3459.0"/>
        <n v="4403.0"/>
        <n v="2887.0"/>
        <n v="3686.0"/>
        <n v="3650.0"/>
        <n v="3415.0"/>
        <n v="3220.0"/>
        <n v="3348.0"/>
        <n v="2128.0"/>
        <n v="2889.0"/>
        <n v="3151.0"/>
        <n v="1796.0"/>
        <n v="2221.0"/>
        <n v="2837.0"/>
        <n v="3006.0"/>
        <n v="1647.0"/>
        <n v="3597.0"/>
        <n v="1854.0"/>
        <n v="2000.0"/>
        <n v="3155.0"/>
        <n v="3828.0"/>
        <n v="3580.0"/>
        <n v="3690.0"/>
        <n v="2377.0"/>
        <n v="4387.0"/>
        <n v="3482.0"/>
        <n v="1783.0"/>
        <n v="1317.0"/>
        <n v="1617.0"/>
        <n v="3557.0"/>
        <n v="3370.0"/>
        <n v="905.0"/>
        <n v="4005.0"/>
        <n v="1502.0"/>
        <n v="1305.0"/>
        <n v="1288.0"/>
        <n v="864.0"/>
        <n v="2737.0"/>
        <n v="3100.0"/>
        <n v="1745.0"/>
        <n v="4443.0"/>
        <n v="1060.0"/>
        <n v="2497.0"/>
        <n v="3481.0"/>
        <n v="2734.0"/>
        <n v="3525.0"/>
        <n v="2254.0"/>
        <n v="2235.0"/>
        <n v="4034.0"/>
        <n v="2453.0"/>
        <n v="2015.0"/>
        <n v="880.0"/>
        <n v="3364.0"/>
        <n v="2744.0"/>
        <n v="3351.0"/>
        <n v="2925.0"/>
        <n v="2795.0"/>
        <n v="704.0"/>
        <n v="3740.0"/>
        <n v="2861.0"/>
        <n v="2775.0"/>
        <n v="986.0"/>
        <n v="919.0"/>
        <n v="850.0"/>
        <n v="333.0"/>
        <n v="471.0"/>
        <n v="631.0"/>
        <n v="381.0"/>
        <n v="1030.0"/>
        <n v="180.0"/>
        <n v="167.0"/>
        <n v="219.0"/>
        <n v="853.0"/>
        <n v="401.0"/>
        <n v="952.0"/>
        <n v="500.0"/>
        <n v="190.0"/>
        <n v="595.0"/>
        <n v="765.0"/>
        <n v="573.0"/>
        <n v="268.0"/>
        <n v="640.0"/>
        <n v="276.0"/>
        <n v="791.0"/>
        <n v="732.0"/>
        <n v="303.0"/>
        <n v="308.0"/>
        <n v="182.0"/>
        <n v="953.0"/>
        <n v="441.0"/>
        <n v="531.0"/>
        <n v="849.0"/>
        <n v="761.0"/>
        <n v="581.0"/>
        <n v="989.0"/>
        <n v="859.0"/>
        <n v="430.0"/>
        <n v="451.0"/>
        <n v="517.0"/>
        <n v="1001.0"/>
        <n v="520.0"/>
        <n v="585.0"/>
        <n v="668.0"/>
        <n v="366.0"/>
        <n v="760.0"/>
        <n v="842.0"/>
        <n v="630.0"/>
        <n v="875.0"/>
        <n v="1032.0"/>
        <n v="412.0"/>
        <n v="610.0"/>
        <n v="592.0"/>
        <n v="777.0"/>
        <n v="253.0"/>
        <n v="792.0"/>
        <n v="755.0"/>
        <n v="574.0"/>
        <n v="682.0"/>
        <n v="371.0"/>
        <n v="812.0"/>
        <n v="811.0"/>
        <n v="422.0"/>
        <n v="459.0"/>
        <n v="900.0"/>
        <n v="1008.0"/>
        <n v="961.0"/>
        <n v="1078.0"/>
        <n v="1003.0"/>
        <n v="239.0"/>
        <n v="170.0"/>
        <n v="999.0"/>
        <n v="788.0"/>
        <n v="916.0"/>
        <n v="718.0"/>
        <n v="409.0"/>
        <n v="396.0"/>
        <n v="177.0"/>
        <n v="719.0"/>
        <n v="306.0"/>
        <n v="507.0"/>
        <n v="402.0"/>
        <n v="688.0"/>
        <n v="860.0"/>
        <n v="394.0"/>
        <n v="552.0"/>
        <n v="1002.0"/>
        <n v="1011.0"/>
        <n v="155.0"/>
        <n v="349.0"/>
        <n v="981.0"/>
        <n v="710.0"/>
        <n v="987.0"/>
        <n v="963.0"/>
        <n v="722.0"/>
        <n v="660.0"/>
        <n v="737.0"/>
        <n v="612.0"/>
        <n v="762.0"/>
        <n v="449.0"/>
        <n v="293.0"/>
        <n v="362.0"/>
        <n v="690.0"/>
        <n v="292.0"/>
        <n v="993.0"/>
        <n v="320.0"/>
        <n v="602.0"/>
        <n v="473.0"/>
        <n v="696.0"/>
        <n v="374.0"/>
        <n v="521.0"/>
        <n v="347.0"/>
        <n v="776.0"/>
        <n v="426.0"/>
        <n v="609.0"/>
        <n v="164.0"/>
        <n v="233.0"/>
        <n v="828.0"/>
        <n v="899.0"/>
        <n v="824.0"/>
        <n v="319.0"/>
        <n v="254.0"/>
        <n v="611.0"/>
        <n v="958.0"/>
        <n v="404.0"/>
        <n v="461.0"/>
        <n v="457.0"/>
        <n v="261.0"/>
        <n v="1037.0"/>
        <n v="416.0"/>
        <n v="398.0"/>
        <n v="353.0"/>
        <n v="883.0"/>
        <n v="885.0"/>
        <n v="403.0"/>
        <n v="633.0"/>
        <n v="192.0"/>
        <n v="556.0"/>
        <n v="248.0"/>
        <n v="1036.0"/>
        <n v="976.0"/>
        <n v="652.0"/>
        <n v="309.0"/>
        <n v="411.0"/>
        <n v="510.0"/>
        <n v="175.0"/>
        <n v="940.0"/>
        <n v="927.0"/>
        <n v="980.0"/>
        <n v="648.0"/>
        <n v="497.0"/>
        <n v="203.0"/>
        <n v="920.0"/>
        <n v="725.0"/>
        <n v="706.0"/>
        <n v="194.0"/>
        <n v="817.0"/>
        <n v="840.0"/>
        <n v="985.0"/>
        <n v="637.0"/>
        <n v="214.0"/>
        <n v="887.0"/>
        <n v="504.0"/>
        <n v="427.0"/>
        <n v="946.0"/>
        <n v="1040.0"/>
        <n v="572.0"/>
        <n v="664.0"/>
        <n v="802.0"/>
        <n v="227.0"/>
        <n v="250.0"/>
        <n v="665.0"/>
        <n v="891.0"/>
        <n v="593.0"/>
        <n v="352.0"/>
        <n v="943.0"/>
        <n v="269.0"/>
        <n v="546.0"/>
        <n v="213.0"/>
        <n v="896.0"/>
        <n v="666.0"/>
        <n v="543.0"/>
        <n v="966.0"/>
        <n v="462.0"/>
        <n v="921.0"/>
        <n v="720.0"/>
        <n v="888.0"/>
        <n v="818.0"/>
        <n v="400.0"/>
        <n v="793.0"/>
        <n v="477.0"/>
        <n v="711.0"/>
        <n v="959.0"/>
        <n v="195.0"/>
        <n v="780.0"/>
        <n v="224.0"/>
        <n v="618.0"/>
        <n v="516.0"/>
        <n v="335.0"/>
        <n v="1050.0"/>
        <n v="580.0"/>
        <n v="925.0"/>
        <n v="635.0"/>
        <n v="995.0"/>
        <n v="444.0"/>
        <n v="594.0"/>
        <n v="731.0"/>
        <n v="763.0"/>
        <n v="700.0"/>
        <n v="634.0"/>
        <n v="904.0"/>
        <n v="279.0"/>
        <n v="863.0"/>
        <n v="576.0"/>
        <n v="692.0"/>
        <n v="994.0"/>
        <n v="862.0"/>
        <n v="184.0"/>
        <n v="536.0"/>
        <n v="1019.0"/>
        <n v="886.0"/>
        <n v="197.0"/>
        <n v="332.0"/>
        <n v="571.0"/>
        <n v="432.0"/>
        <n v="978.0"/>
        <n v="313.0"/>
        <n v="565.0"/>
        <n v="154.0"/>
        <n v="804.0"/>
        <n v="161.0"/>
        <n v="578.0"/>
        <n v="744.0"/>
        <n v="1048.0"/>
        <n v="284.0"/>
        <n v="650.0"/>
        <n v="845.0"/>
        <n v="914.0"/>
        <n v="344.0"/>
        <n v="206.0"/>
        <n v="158.0"/>
        <n v="956.0"/>
        <n v="768.0"/>
        <n v="232.0"/>
        <n v="1017.0"/>
        <n v="415.0"/>
        <n v="286.0"/>
        <n v="291.0"/>
        <n v="846.0"/>
        <n v="716.0"/>
        <n v="417.0"/>
        <n v="954.0"/>
        <n v="693.0"/>
        <n v="342.0"/>
        <n v="249.0"/>
        <n v="972.0"/>
        <n v="795.0"/>
        <n v="670.0"/>
        <n v="220.0"/>
        <n v="832.0"/>
        <n v="420.0"/>
        <n v="554.0"/>
        <n v="714.0"/>
        <n v="604.0"/>
        <n v="601.0"/>
        <n v="709.0"/>
        <n v="236.0"/>
        <n v="357.0"/>
        <n v="707.0"/>
        <n v="784.0"/>
        <n v="977.0"/>
        <n v="623.0"/>
        <n v="283.0"/>
        <n v="228.0"/>
        <n v="903.0"/>
        <n v="217.0"/>
        <n v="351.0"/>
        <n v="929.0"/>
        <n v="488.0"/>
        <n v="246.0"/>
        <n v="445.0"/>
        <n v="740.0"/>
        <n v="717.0"/>
        <n v="198.0"/>
        <n v="221.0"/>
        <n v="408.0"/>
        <n v="230.0"/>
        <n v="770.0"/>
        <n v="509.0"/>
        <n v="240.0"/>
        <n v="469.0"/>
        <n v="435.0"/>
        <n v="910.0"/>
        <n v="769.0"/>
        <n v="991.0"/>
        <n v="778.0"/>
        <n v="297.0"/>
        <n v="975.0"/>
        <n v="481.0"/>
        <n v="657.0"/>
        <n v="1006.0"/>
        <n v="712.0"/>
        <n v="772.0"/>
        <n v="855.0"/>
        <n v="218.0"/>
        <n v="678.0"/>
        <n v="289.0"/>
        <n v="867.0"/>
        <n v="165.0"/>
        <n v="179.0"/>
        <n v="937.0"/>
        <n v="468.0"/>
        <n v="288.0"/>
        <n v="171.0"/>
        <n v="642.0"/>
        <n v="568.0"/>
        <n v="418.0"/>
        <n v="911.0"/>
        <n v="515.0"/>
        <n v="686.0"/>
        <n v="548.0"/>
        <n v="684.0"/>
        <n v="570.0"/>
        <n v="647.0"/>
        <n v="641.0"/>
        <n v="513.0"/>
        <n v="851.0"/>
        <n v="820.0"/>
        <n v="676.0"/>
        <n v="825.0"/>
        <n v="1016.0"/>
        <n v="753.0"/>
        <n v="715.0"/>
        <n v="1014.0"/>
        <n v="587.0"/>
        <n v="560.0"/>
        <n v="667.0"/>
        <n v="162.0"/>
        <n v="797.0"/>
        <n v="544.0"/>
        <n v="653.0"/>
        <n v="382.0"/>
        <n v="1007.0"/>
        <n v="752.0"/>
        <n v="506.0"/>
        <n v="336.0"/>
        <n v="235.0"/>
        <n v="558.0"/>
        <n v="405.0"/>
        <n v="455.0"/>
        <n v="550.0"/>
        <n v="467.0"/>
        <n v="831.0"/>
        <n v="474.0"/>
        <n v="495.0"/>
        <n v="523.0"/>
        <n v="431.0"/>
        <n v="579.0"/>
        <n v="151.0"/>
        <n v="662.0"/>
        <n v="708.0"/>
        <n v="697.0"/>
        <n v="957.0"/>
        <n v="566.0"/>
        <n v="913.0"/>
        <n v="452.0"/>
        <n v="414.0"/>
        <n v="280.0"/>
        <n v="931.0"/>
        <n v="241.0"/>
        <n v="869.0"/>
        <n v="751.0"/>
        <n v="801.0"/>
        <n v="1015.0"/>
        <n v="354.0"/>
        <n v="1044.0"/>
        <n v="582.0"/>
        <n v="525.0"/>
        <n v="936.0"/>
        <n v="968.0"/>
        <n v="270.0"/>
        <n v="529.0"/>
        <n v="260.0"/>
        <n v="926.0"/>
        <n v="924.0"/>
        <n v="273.0"/>
        <n v="1000.0"/>
        <n v="733.0"/>
        <n v="990.0"/>
        <n v="805.0"/>
        <n v="210.0"/>
        <n v="803.0"/>
        <n v="808.0"/>
        <n v="622.0"/>
        <n v="646.0"/>
        <n v="1024.0"/>
        <n v="992.0"/>
        <n v="838.0"/>
        <n v="590.0"/>
        <n v="928.0"/>
        <n v="698.0"/>
        <n v="168.0"/>
        <n v="871.0"/>
        <n v="656.0"/>
        <n v="337.0"/>
        <n v="627.0"/>
        <n v="827.0"/>
        <n v="626.0"/>
        <n v="785.0"/>
        <n v="701.0"/>
        <n v="539.0"/>
        <n v="598.0"/>
        <n v="577.0"/>
        <n v="607.0"/>
        <n v="1110.0"/>
        <n v="390.0"/>
        <n v="482.0"/>
        <n v="331.0"/>
        <n v="877.0"/>
        <n v="671.0"/>
        <n v="906.0"/>
        <n v="890.0"/>
        <n v="806.0"/>
        <n v="615.0"/>
        <n v="305.0"/>
        <n v="527.0"/>
        <n v="559.0"/>
        <n v="537.0"/>
        <n v="843.0"/>
        <n v="326.0"/>
        <n v="826.0"/>
        <n v="723.0"/>
        <n v="930.0"/>
        <n v="835.0"/>
        <n v="705.0"/>
        <n v="438.0"/>
        <n v="185.0"/>
        <n v="636.0"/>
        <n v="503.0"/>
        <n v="553.0"/>
        <n v="265.0"/>
        <n v="442.0"/>
        <n v="561.0"/>
        <n v="345.0"/>
        <n v="325.0"/>
        <n v="428.0"/>
        <n v="858.0"/>
        <n v="443.0"/>
        <n v="502.0"/>
        <n v="295.0"/>
        <n v="492.0"/>
        <n v="819.0"/>
        <n v="1038.0"/>
        <n v="783.0"/>
        <n v="918.0"/>
        <n v="365.0"/>
        <n v="691.0"/>
        <n v="754.0"/>
        <n v="285.0"/>
        <n v="759.0"/>
        <n v="655.0"/>
        <n v="237.0"/>
        <n v="742.0"/>
        <n v="364.0"/>
        <n v="397.0"/>
        <n v="491.0"/>
        <n v="533.0"/>
        <n v="368.0"/>
        <n v="367.0"/>
        <n v="895.0"/>
        <n v="907.0"/>
        <n v="651.0"/>
        <n v="741.0"/>
        <n v="790.0"/>
        <n v="638.0"/>
        <n v="997.0"/>
        <n v="830.0"/>
        <n v="385.0"/>
        <n v="971.0"/>
        <n v="563.0"/>
        <n v="866.0"/>
        <n v="361.0"/>
        <n v="258.0"/>
        <n v="466.0"/>
        <n v="157.0"/>
        <n v="613.0"/>
        <n v="186.0"/>
        <n v="672.0"/>
        <n v="1093.0"/>
        <n v="511.0"/>
        <n v="680.0"/>
        <n v="870.0"/>
        <n v="786.0"/>
        <n v="973.0"/>
        <n v="302.0"/>
        <n v="159.0"/>
        <n v="247.0"/>
        <n v="787.0"/>
        <n v="524.0"/>
        <n v="799.0"/>
        <n v="222.0"/>
        <n v="266.0"/>
        <n v="881.0"/>
        <n v="575.0"/>
        <n v="567.0"/>
        <n v="183.0"/>
        <n v="1009.0"/>
        <n v="290.0"/>
        <n v="1012.0"/>
        <n v="391.0"/>
        <n v="464.0"/>
        <n v="493.0"/>
        <n v="446.0"/>
        <n v="287.0"/>
        <n v="463.0"/>
        <n v="282.0"/>
        <n v="743.0"/>
        <n v="841.0"/>
        <n v="645.0"/>
        <n v="758.0"/>
        <n v="823.0"/>
        <n v="395.0"/>
        <n v="699.0"/>
        <n v="359.0"/>
        <n v="389.0"/>
        <n v="649.0"/>
        <n v="205.0"/>
        <n v="729.0"/>
        <n v="327.0"/>
        <n v="569.0"/>
        <n v="810.0"/>
        <n v="534.0"/>
        <n v="256.0"/>
        <n v="440.0"/>
        <n v="852.0"/>
        <n v="798.0"/>
        <n v="315.0"/>
        <n v="739.0"/>
        <n v="1042.0"/>
        <n v="889.0"/>
        <n v="1049.0"/>
        <n v="340.0"/>
        <n v="893.0"/>
        <n v="541.0"/>
        <n v="259.0"/>
        <n v="526.0"/>
        <n v="532.0"/>
        <n v="425.0"/>
        <n v="988.0"/>
        <n v="304.0"/>
        <n v="542.0"/>
        <n v="478.0"/>
        <n v="323.0"/>
        <n v="884.0"/>
        <n v="745.0"/>
        <n v="317.0"/>
        <n v="383.0"/>
        <n v="996.0"/>
        <n v="628.0"/>
        <n v="301.0"/>
        <n v="915.0"/>
        <n v="816.0"/>
        <n v="736.0"/>
        <n v="750.0"/>
        <n v="948.0"/>
        <n v="721.0"/>
        <n v="727.0"/>
        <n v="872.0"/>
        <n v="600.0"/>
        <n v="608.0"/>
        <n v="299.0"/>
        <n v="1041.0"/>
        <n v="370.0"/>
        <n v="746.0"/>
        <n v="380.0"/>
        <n v="584.0"/>
        <n v="202.0"/>
        <n v="330.0"/>
        <n v="675.0"/>
        <n v="861.0"/>
        <n v="196.0"/>
        <n v="771.0"/>
        <n v="243.0"/>
        <n v="583.0"/>
        <n v="173.0"/>
        <n v="659.0"/>
        <n v="460.0"/>
        <n v="316.0"/>
        <n v="215.0"/>
        <n v="679.0"/>
        <n v="949.0"/>
        <n v="447.0"/>
        <n v="606.0"/>
        <n v="857.0"/>
        <n v="251.0"/>
        <n v="348.0"/>
        <n v="894.0"/>
        <n v="935.0"/>
        <n v="483.0"/>
        <n v="892.0"/>
        <n v="726.0"/>
      </sharedItems>
    </cacheField>
    <cacheField name="Currency" numFmtId="0">
      <sharedItems>
        <s v="PLN"/>
        <s v="GBP"/>
        <s v="EUR"/>
      </sharedItems>
    </cacheField>
    <cacheField name="SUM of Completed transsactions" formula="'Successful transactions' - 'Failed transactions'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lGrandTotals="0" compact="0" compactData="0">
  <location ref="A1:E10" firstHeaderRow="0" firstDataRow="2" firstDataCol="1"/>
  <pivotFields>
    <pivotField name="Tra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t="default"/>
      </items>
    </pivotField>
    <pivotField name="Country" axis="axisCol" compact="0" outline="0" multipleItemSelectionAllowed="1" showAll="0" sortType="ascending">
      <items>
        <item h="1" x="2"/>
        <item x="0"/>
        <item h="1" x="3"/>
        <item h="1" x="1"/>
        <item t="default"/>
      </items>
    </pivotField>
    <pivotField name="City" axis="axisRow" compact="0" outline="0" multipleItemSelectionAllowed="1" showAll="0" sortType="ascending">
      <items>
        <item x="19"/>
        <item x="18"/>
        <item x="7"/>
        <item x="12"/>
        <item x="10"/>
        <item x="0"/>
        <item x="4"/>
        <item x="14"/>
        <item x="8"/>
        <item x="2"/>
        <item x="11"/>
        <item x="23"/>
        <item x="6"/>
        <item x="16"/>
        <item x="9"/>
        <item x="17"/>
        <item x="15"/>
        <item x="5"/>
        <item x="20"/>
        <item x="13"/>
        <item x="22"/>
        <item x="3"/>
        <item x="1"/>
        <item x="21"/>
        <item t="default"/>
      </items>
    </pivotField>
    <pivotField name="Reporting_week" compact="0" numFmtId="164" outline="0" multipleItemSelectionAllowed="1" showAll="0">
      <items>
        <item x="0"/>
        <item x="1"/>
        <item x="2"/>
        <item x="3"/>
        <item t="default"/>
      </items>
    </pivotField>
    <pivotField name="Successful transac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Failed transac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Gross_booking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t="default"/>
      </items>
    </pivotField>
    <pivotField name="Currency" compact="0" outline="0" multipleItemSelectionAllowed="1" showAll="0">
      <items>
        <item x="0"/>
        <item x="1"/>
        <item x="2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2"/>
  </rowFields>
  <colFields>
    <field x="1"/>
    <field x="-2"/>
  </colFields>
  <dataFields>
    <dataField name="Number of Traders" fld="0" subtotal="count" baseField="0"/>
    <dataField name="Overall gross bookings" fld="6" baseField="0"/>
    <dataField name="Average gross bookings" fld="6" subtotal="average" baseField="0"/>
    <dataField name="SUM of SUM of Completed transsactions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5"/>
    <col customWidth="1" min="2" max="7" width="18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15.75" customHeight="1">
      <c r="A2" s="3" t="s">
        <v>8</v>
      </c>
      <c r="B2" s="3" t="s">
        <v>9</v>
      </c>
      <c r="C2" s="3" t="s">
        <v>10</v>
      </c>
      <c r="D2" s="4">
        <v>45663.0</v>
      </c>
      <c r="E2" s="3">
        <v>16.0</v>
      </c>
      <c r="F2" s="5">
        <v>0.0</v>
      </c>
      <c r="G2" s="3">
        <v>1875.0</v>
      </c>
      <c r="H2" s="3" t="str">
        <f>VLOOKUP(B2,'Currency Table'!$M$3:$N$6,2, FALSE)</f>
        <v>PLN</v>
      </c>
      <c r="I2" s="3"/>
      <c r="J2" s="3"/>
      <c r="K2" s="3"/>
      <c r="L2" s="6"/>
      <c r="M2" s="6"/>
      <c r="N2" s="3"/>
      <c r="O2" s="7"/>
      <c r="P2" s="3"/>
      <c r="Q2" s="3"/>
      <c r="R2" s="3"/>
      <c r="S2" s="3"/>
      <c r="T2" s="3"/>
      <c r="U2" s="3"/>
      <c r="V2" s="3"/>
      <c r="W2" s="3"/>
    </row>
    <row r="3" ht="15.75" customHeight="1">
      <c r="A3" s="3" t="s">
        <v>11</v>
      </c>
      <c r="B3" s="3" t="s">
        <v>9</v>
      </c>
      <c r="C3" s="3" t="s">
        <v>12</v>
      </c>
      <c r="D3" s="4">
        <v>45663.0</v>
      </c>
      <c r="E3" s="3">
        <v>15.0</v>
      </c>
      <c r="F3" s="5">
        <v>0.0</v>
      </c>
      <c r="G3" s="3">
        <v>874.0</v>
      </c>
      <c r="H3" s="3" t="str">
        <f>VLOOKUP(B3,'Currency Table'!$M$3:$N$6,2, FALSE)</f>
        <v>PLN</v>
      </c>
      <c r="I3" s="3"/>
      <c r="J3" s="3"/>
      <c r="K3" s="3"/>
      <c r="L3" s="6"/>
      <c r="M3" s="6"/>
      <c r="N3" s="3"/>
      <c r="O3" s="7"/>
      <c r="P3" s="3"/>
      <c r="Q3" s="3"/>
      <c r="R3" s="3"/>
      <c r="S3" s="3"/>
      <c r="T3" s="3"/>
      <c r="U3" s="3"/>
      <c r="V3" s="3"/>
      <c r="W3" s="3"/>
    </row>
    <row r="4" ht="15.75" customHeight="1">
      <c r="A4" s="3" t="s">
        <v>13</v>
      </c>
      <c r="B4" s="3" t="s">
        <v>9</v>
      </c>
      <c r="C4" s="3" t="s">
        <v>14</v>
      </c>
      <c r="D4" s="4">
        <v>45663.0</v>
      </c>
      <c r="E4" s="3">
        <v>32.0</v>
      </c>
      <c r="F4" s="5">
        <v>3.0</v>
      </c>
      <c r="G4" s="3">
        <v>2269.0</v>
      </c>
      <c r="H4" s="3" t="str">
        <f>VLOOKUP(B4,'Currency Table'!$M$3:$N$6,2, FALSE)</f>
        <v>PLN</v>
      </c>
      <c r="I4" s="3"/>
      <c r="J4" s="3"/>
      <c r="K4" s="3"/>
      <c r="L4" s="6"/>
      <c r="M4" s="6"/>
      <c r="N4" s="3"/>
      <c r="O4" s="7"/>
      <c r="P4" s="3"/>
      <c r="Q4" s="3"/>
      <c r="R4" s="3"/>
      <c r="S4" s="3"/>
      <c r="T4" s="3"/>
      <c r="U4" s="3"/>
      <c r="V4" s="3"/>
      <c r="W4" s="3"/>
    </row>
    <row r="5" ht="15.75" customHeight="1">
      <c r="A5" s="3" t="s">
        <v>15</v>
      </c>
      <c r="B5" s="3" t="s">
        <v>9</v>
      </c>
      <c r="C5" s="3" t="s">
        <v>16</v>
      </c>
      <c r="D5" s="4">
        <v>45663.0</v>
      </c>
      <c r="E5" s="3">
        <v>11.0</v>
      </c>
      <c r="F5" s="5">
        <v>0.0</v>
      </c>
      <c r="G5" s="3">
        <v>658.0</v>
      </c>
      <c r="H5" s="3" t="str">
        <f>VLOOKUP(B5,'Currency Table'!$M$3:$N$6,2, FALSE)</f>
        <v>PLN</v>
      </c>
      <c r="I5" s="3"/>
      <c r="J5" s="3"/>
      <c r="K5" s="3"/>
      <c r="L5" s="6"/>
      <c r="M5" s="6"/>
      <c r="N5" s="3"/>
      <c r="O5" s="7"/>
      <c r="P5" s="3"/>
      <c r="Q5" s="3"/>
      <c r="R5" s="3"/>
      <c r="S5" s="3"/>
      <c r="T5" s="3"/>
      <c r="U5" s="3"/>
      <c r="V5" s="3"/>
      <c r="W5" s="3"/>
    </row>
    <row r="6" ht="15.75" customHeight="1">
      <c r="A6" s="3" t="s">
        <v>17</v>
      </c>
      <c r="B6" s="3" t="s">
        <v>9</v>
      </c>
      <c r="C6" s="3" t="s">
        <v>16</v>
      </c>
      <c r="D6" s="4">
        <v>45663.0</v>
      </c>
      <c r="E6" s="3">
        <v>51.0</v>
      </c>
      <c r="F6" s="5">
        <v>0.0</v>
      </c>
      <c r="G6" s="3">
        <v>3721.0</v>
      </c>
      <c r="H6" s="3" t="str">
        <f>VLOOKUP(B6,'Currency Table'!$M$3:$N$6,2, FALSE)</f>
        <v>PLN</v>
      </c>
      <c r="I6" s="3"/>
      <c r="J6" s="3"/>
      <c r="K6" s="3"/>
      <c r="L6" s="6"/>
      <c r="M6" s="6"/>
      <c r="N6" s="3"/>
      <c r="O6" s="7"/>
      <c r="P6" s="3"/>
      <c r="Q6" s="3"/>
      <c r="R6" s="3"/>
      <c r="S6" s="3"/>
      <c r="T6" s="3"/>
      <c r="U6" s="3"/>
      <c r="V6" s="3"/>
      <c r="W6" s="3"/>
    </row>
    <row r="7" ht="15.75" customHeight="1">
      <c r="A7" s="3" t="s">
        <v>18</v>
      </c>
      <c r="B7" s="3" t="s">
        <v>9</v>
      </c>
      <c r="C7" s="3" t="s">
        <v>12</v>
      </c>
      <c r="D7" s="4">
        <v>45663.0</v>
      </c>
      <c r="E7" s="3">
        <v>55.0</v>
      </c>
      <c r="F7" s="5">
        <v>3.0</v>
      </c>
      <c r="G7" s="3">
        <v>3377.0</v>
      </c>
      <c r="H7" s="3" t="str">
        <f>VLOOKUP(B7,'Currency Table'!$M$3:$N$6,2, FALSE)</f>
        <v>PLN</v>
      </c>
      <c r="I7" s="3"/>
      <c r="J7" s="3"/>
      <c r="K7" s="3"/>
      <c r="L7" s="6"/>
      <c r="M7" s="6"/>
      <c r="N7" s="3"/>
      <c r="O7" s="7"/>
      <c r="P7" s="3"/>
      <c r="Q7" s="3"/>
      <c r="R7" s="3"/>
      <c r="S7" s="3"/>
      <c r="T7" s="3"/>
      <c r="U7" s="3"/>
      <c r="V7" s="3"/>
      <c r="W7" s="3"/>
    </row>
    <row r="8" ht="15.75" customHeight="1">
      <c r="A8" s="3" t="s">
        <v>19</v>
      </c>
      <c r="B8" s="3" t="s">
        <v>9</v>
      </c>
      <c r="C8" s="3" t="s">
        <v>14</v>
      </c>
      <c r="D8" s="4">
        <v>45663.0</v>
      </c>
      <c r="E8" s="3">
        <v>68.0</v>
      </c>
      <c r="F8" s="5">
        <v>5.0</v>
      </c>
      <c r="G8" s="3">
        <v>4142.0</v>
      </c>
      <c r="H8" s="3" t="str">
        <f>VLOOKUP(B8,'Currency Table'!$M$3:$N$6,2, FALSE)</f>
        <v>PLN</v>
      </c>
      <c r="I8" s="3"/>
      <c r="J8" s="3"/>
      <c r="K8" s="3"/>
      <c r="L8" s="6"/>
      <c r="M8" s="6"/>
      <c r="N8" s="3"/>
      <c r="O8" s="7"/>
      <c r="P8" s="3"/>
      <c r="Q8" s="3"/>
      <c r="R8" s="3"/>
      <c r="S8" s="3"/>
      <c r="T8" s="3"/>
      <c r="U8" s="3"/>
      <c r="V8" s="3"/>
      <c r="W8" s="3"/>
    </row>
    <row r="9" ht="15.75" customHeight="1">
      <c r="A9" s="3" t="s">
        <v>20</v>
      </c>
      <c r="B9" s="3" t="s">
        <v>9</v>
      </c>
      <c r="C9" s="3" t="s">
        <v>12</v>
      </c>
      <c r="D9" s="4">
        <v>45663.0</v>
      </c>
      <c r="E9" s="3">
        <v>45.0</v>
      </c>
      <c r="F9" s="5">
        <v>4.0</v>
      </c>
      <c r="G9" s="3">
        <v>2716.0</v>
      </c>
      <c r="H9" s="3" t="str">
        <f>VLOOKUP(B9,'Currency Table'!$M$3:$N$6,2, FALSE)</f>
        <v>PLN</v>
      </c>
      <c r="I9" s="3"/>
      <c r="J9" s="3"/>
      <c r="K9" s="3"/>
      <c r="L9" s="6"/>
      <c r="M9" s="6"/>
      <c r="N9" s="3"/>
      <c r="O9" s="7"/>
      <c r="P9" s="3"/>
      <c r="Q9" s="3"/>
      <c r="R9" s="3"/>
      <c r="S9" s="3"/>
      <c r="T9" s="3"/>
      <c r="U9" s="3"/>
      <c r="V9" s="3"/>
      <c r="W9" s="3"/>
    </row>
    <row r="10" ht="15.75" customHeight="1">
      <c r="A10" s="3" t="s">
        <v>21</v>
      </c>
      <c r="B10" s="3" t="s">
        <v>9</v>
      </c>
      <c r="C10" s="3" t="s">
        <v>16</v>
      </c>
      <c r="D10" s="4">
        <v>45663.0</v>
      </c>
      <c r="E10" s="3">
        <v>17.0</v>
      </c>
      <c r="F10" s="5">
        <v>4.0</v>
      </c>
      <c r="G10" s="3">
        <v>1604.0</v>
      </c>
      <c r="H10" s="3" t="str">
        <f>VLOOKUP(B10,'Currency Table'!$M$3:$N$6,2, FALSE)</f>
        <v>PLN</v>
      </c>
      <c r="I10" s="3"/>
      <c r="J10" s="3"/>
      <c r="K10" s="3"/>
      <c r="L10" s="6"/>
      <c r="M10" s="6"/>
      <c r="N10" s="3"/>
      <c r="O10" s="7"/>
      <c r="P10" s="3"/>
      <c r="Q10" s="3"/>
      <c r="R10" s="3"/>
      <c r="S10" s="3"/>
      <c r="T10" s="3"/>
      <c r="U10" s="3"/>
      <c r="V10" s="3"/>
      <c r="W10" s="3"/>
    </row>
    <row r="11" ht="15.75" customHeight="1">
      <c r="A11" s="3" t="s">
        <v>22</v>
      </c>
      <c r="B11" s="3" t="s">
        <v>9</v>
      </c>
      <c r="C11" s="3" t="s">
        <v>23</v>
      </c>
      <c r="D11" s="4">
        <v>45663.0</v>
      </c>
      <c r="E11" s="3">
        <v>15.0</v>
      </c>
      <c r="F11" s="5">
        <v>3.0</v>
      </c>
      <c r="G11" s="3">
        <v>865.0</v>
      </c>
      <c r="H11" s="3" t="str">
        <f>VLOOKUP(B11,'Currency Table'!$M$3:$N$6,2, FALSE)</f>
        <v>PLN</v>
      </c>
      <c r="I11" s="3"/>
      <c r="J11" s="3"/>
      <c r="K11" s="3"/>
      <c r="L11" s="6"/>
      <c r="M11" s="6"/>
      <c r="N11" s="3"/>
      <c r="O11" s="7"/>
      <c r="P11" s="3"/>
      <c r="Q11" s="3"/>
      <c r="R11" s="3"/>
      <c r="S11" s="3"/>
      <c r="T11" s="3"/>
      <c r="U11" s="3"/>
      <c r="V11" s="3"/>
      <c r="W11" s="3"/>
    </row>
    <row r="12" ht="15.75" customHeight="1">
      <c r="A12" s="3" t="s">
        <v>24</v>
      </c>
      <c r="B12" s="3" t="s">
        <v>9</v>
      </c>
      <c r="C12" s="3" t="s">
        <v>23</v>
      </c>
      <c r="D12" s="4">
        <v>45663.0</v>
      </c>
      <c r="E12" s="3">
        <v>31.0</v>
      </c>
      <c r="F12" s="5">
        <v>2.0</v>
      </c>
      <c r="G12" s="3">
        <v>2463.0</v>
      </c>
      <c r="H12" s="3" t="str">
        <f>VLOOKUP(B12,'Currency Table'!$M$3:$N$6,2, FALSE)</f>
        <v>PLN</v>
      </c>
      <c r="I12" s="3"/>
      <c r="J12" s="3"/>
      <c r="K12" s="3"/>
      <c r="L12" s="6"/>
      <c r="M12" s="6"/>
      <c r="N12" s="3"/>
      <c r="O12" s="7"/>
      <c r="P12" s="3"/>
      <c r="Q12" s="3"/>
      <c r="R12" s="3"/>
      <c r="S12" s="3"/>
      <c r="T12" s="3"/>
      <c r="U12" s="3"/>
      <c r="V12" s="3"/>
      <c r="W12" s="3"/>
    </row>
    <row r="13" ht="15.75" customHeight="1">
      <c r="A13" s="3" t="s">
        <v>25</v>
      </c>
      <c r="B13" s="3" t="s">
        <v>9</v>
      </c>
      <c r="C13" s="3" t="s">
        <v>10</v>
      </c>
      <c r="D13" s="4">
        <v>45663.0</v>
      </c>
      <c r="E13" s="3">
        <v>10.0</v>
      </c>
      <c r="F13" s="5">
        <v>0.0</v>
      </c>
      <c r="G13" s="3">
        <v>685.0</v>
      </c>
      <c r="H13" s="3" t="str">
        <f>VLOOKUP(B13,'Currency Table'!$M$3:$N$6,2, FALSE)</f>
        <v>PLN</v>
      </c>
      <c r="I13" s="3"/>
      <c r="J13" s="3"/>
      <c r="K13" s="3"/>
      <c r="L13" s="6"/>
      <c r="M13" s="6"/>
      <c r="N13" s="3"/>
      <c r="O13" s="7"/>
      <c r="P13" s="3"/>
      <c r="Q13" s="3"/>
      <c r="R13" s="3"/>
      <c r="S13" s="3"/>
      <c r="T13" s="3"/>
      <c r="U13" s="3"/>
      <c r="V13" s="3"/>
      <c r="W13" s="3"/>
    </row>
    <row r="14" ht="15.75" customHeight="1">
      <c r="A14" s="3" t="s">
        <v>26</v>
      </c>
      <c r="B14" s="3" t="s">
        <v>9</v>
      </c>
      <c r="C14" s="3" t="s">
        <v>12</v>
      </c>
      <c r="D14" s="4">
        <v>45663.0</v>
      </c>
      <c r="E14" s="3">
        <v>21.0</v>
      </c>
      <c r="F14" s="5">
        <v>1.0</v>
      </c>
      <c r="G14" s="3">
        <v>1909.0</v>
      </c>
      <c r="H14" s="3" t="str">
        <f>VLOOKUP(B14,'Currency Table'!$M$3:$N$6,2, FALSE)</f>
        <v>PLN</v>
      </c>
      <c r="I14" s="3"/>
      <c r="J14" s="3"/>
      <c r="K14" s="3"/>
      <c r="L14" s="6"/>
      <c r="M14" s="6"/>
      <c r="N14" s="3"/>
      <c r="O14" s="7"/>
      <c r="P14" s="3"/>
      <c r="Q14" s="3"/>
      <c r="R14" s="3"/>
      <c r="S14" s="3"/>
      <c r="T14" s="3"/>
      <c r="U14" s="3"/>
      <c r="V14" s="3"/>
      <c r="W14" s="3"/>
    </row>
    <row r="15" ht="15.75" customHeight="1">
      <c r="A15" s="3" t="s">
        <v>27</v>
      </c>
      <c r="B15" s="3" t="s">
        <v>9</v>
      </c>
      <c r="C15" s="3" t="s">
        <v>23</v>
      </c>
      <c r="D15" s="4">
        <v>45663.0</v>
      </c>
      <c r="E15" s="3">
        <v>10.0</v>
      </c>
      <c r="F15" s="5">
        <v>3.0</v>
      </c>
      <c r="G15" s="3">
        <v>713.0</v>
      </c>
      <c r="H15" s="3" t="str">
        <f>VLOOKUP(B15,'Currency Table'!$M$3:$N$6,2, FALSE)</f>
        <v>PLN</v>
      </c>
      <c r="I15" s="3"/>
      <c r="J15" s="3"/>
      <c r="K15" s="3"/>
      <c r="L15" s="3"/>
      <c r="M15" s="3"/>
      <c r="N15" s="3"/>
      <c r="O15" s="7"/>
      <c r="P15" s="3"/>
      <c r="Q15" s="3"/>
      <c r="R15" s="3"/>
      <c r="S15" s="3"/>
      <c r="T15" s="3"/>
      <c r="U15" s="3"/>
      <c r="V15" s="3"/>
      <c r="W15" s="3"/>
    </row>
    <row r="16" ht="15.75" customHeight="1">
      <c r="A16" s="3" t="s">
        <v>28</v>
      </c>
      <c r="B16" s="3" t="s">
        <v>9</v>
      </c>
      <c r="C16" s="3" t="s">
        <v>10</v>
      </c>
      <c r="D16" s="4">
        <v>45663.0</v>
      </c>
      <c r="E16" s="3">
        <v>30.0</v>
      </c>
      <c r="F16" s="5">
        <v>1.0</v>
      </c>
      <c r="G16" s="3">
        <v>1741.0</v>
      </c>
      <c r="H16" s="3" t="str">
        <f>VLOOKUP(B16,'Currency Table'!$M$3:$N$6,2, FALSE)</f>
        <v>PLN</v>
      </c>
      <c r="I16" s="3"/>
      <c r="J16" s="3"/>
      <c r="K16" s="3"/>
      <c r="L16" s="3"/>
      <c r="M16" s="3"/>
      <c r="N16" s="3"/>
      <c r="O16" s="7"/>
      <c r="P16" s="3"/>
      <c r="Q16" s="3"/>
      <c r="R16" s="3"/>
      <c r="S16" s="3"/>
      <c r="T16" s="3"/>
      <c r="U16" s="3"/>
      <c r="V16" s="3"/>
      <c r="W16" s="3"/>
    </row>
    <row r="17" ht="15.75" customHeight="1">
      <c r="A17" s="3" t="s">
        <v>29</v>
      </c>
      <c r="B17" s="3" t="s">
        <v>9</v>
      </c>
      <c r="C17" s="3" t="s">
        <v>30</v>
      </c>
      <c r="D17" s="4">
        <v>45663.0</v>
      </c>
      <c r="E17" s="3">
        <v>36.0</v>
      </c>
      <c r="F17" s="5">
        <v>3.0</v>
      </c>
      <c r="G17" s="3">
        <v>2103.0</v>
      </c>
      <c r="H17" s="3" t="str">
        <f>VLOOKUP(B17,'Currency Table'!$M$3:$N$6,2, FALSE)</f>
        <v>PLN</v>
      </c>
      <c r="I17" s="3"/>
      <c r="J17" s="3"/>
      <c r="K17" s="3"/>
      <c r="L17" s="3"/>
      <c r="M17" s="3"/>
      <c r="N17" s="3"/>
      <c r="O17" s="7"/>
      <c r="P17" s="3"/>
      <c r="Q17" s="3"/>
      <c r="R17" s="3"/>
      <c r="S17" s="3"/>
      <c r="T17" s="3"/>
      <c r="U17" s="3"/>
      <c r="V17" s="3"/>
      <c r="W17" s="3"/>
    </row>
    <row r="18" ht="15.75" customHeight="1">
      <c r="A18" s="3" t="s">
        <v>31</v>
      </c>
      <c r="B18" s="3" t="s">
        <v>9</v>
      </c>
      <c r="C18" s="3" t="s">
        <v>12</v>
      </c>
      <c r="D18" s="4">
        <v>45663.0</v>
      </c>
      <c r="E18" s="3">
        <v>19.0</v>
      </c>
      <c r="F18" s="5">
        <v>0.0</v>
      </c>
      <c r="G18" s="3">
        <v>1610.0</v>
      </c>
      <c r="H18" s="3" t="str">
        <f>VLOOKUP(B18,'Currency Table'!$M$3:$N$6,2, FALSE)</f>
        <v>PLN</v>
      </c>
      <c r="I18" s="3"/>
      <c r="J18" s="3"/>
      <c r="K18" s="3"/>
      <c r="L18" s="3"/>
      <c r="M18" s="3"/>
      <c r="N18" s="3"/>
      <c r="O18" s="7"/>
      <c r="P18" s="3"/>
      <c r="Q18" s="3"/>
      <c r="R18" s="3"/>
      <c r="S18" s="3"/>
      <c r="T18" s="3"/>
      <c r="U18" s="3"/>
      <c r="V18" s="3"/>
      <c r="W18" s="3"/>
    </row>
    <row r="19" ht="15.75" customHeight="1">
      <c r="A19" s="3" t="s">
        <v>32</v>
      </c>
      <c r="B19" s="3" t="s">
        <v>9</v>
      </c>
      <c r="C19" s="3" t="s">
        <v>14</v>
      </c>
      <c r="D19" s="4">
        <v>45663.0</v>
      </c>
      <c r="E19" s="3">
        <v>19.0</v>
      </c>
      <c r="F19" s="5">
        <v>4.0</v>
      </c>
      <c r="G19" s="3">
        <v>1672.0</v>
      </c>
      <c r="H19" s="3" t="str">
        <f>VLOOKUP(B19,'Currency Table'!$M$3:$N$6,2, FALSE)</f>
        <v>PLN</v>
      </c>
      <c r="I19" s="3"/>
      <c r="J19" s="3"/>
      <c r="K19" s="3"/>
      <c r="L19" s="3"/>
      <c r="M19" s="3"/>
      <c r="N19" s="3"/>
      <c r="O19" s="7"/>
      <c r="P19" s="3"/>
      <c r="Q19" s="3"/>
      <c r="R19" s="3"/>
      <c r="S19" s="3"/>
      <c r="T19" s="3"/>
      <c r="U19" s="3"/>
      <c r="V19" s="3"/>
      <c r="W19" s="3"/>
    </row>
    <row r="20" ht="15.75" customHeight="1">
      <c r="A20" s="3" t="s">
        <v>33</v>
      </c>
      <c r="B20" s="3" t="s">
        <v>9</v>
      </c>
      <c r="C20" s="3" t="s">
        <v>10</v>
      </c>
      <c r="D20" s="4">
        <v>45663.0</v>
      </c>
      <c r="E20" s="3">
        <v>46.0</v>
      </c>
      <c r="F20" s="5">
        <v>2.0</v>
      </c>
      <c r="G20" s="3">
        <v>3208.0</v>
      </c>
      <c r="H20" s="3" t="str">
        <f>VLOOKUP(B20,'Currency Table'!$M$3:$N$6,2, FALSE)</f>
        <v>PLN</v>
      </c>
      <c r="I20" s="3"/>
      <c r="J20" s="3"/>
      <c r="K20" s="3"/>
      <c r="L20" s="3"/>
      <c r="M20" s="3"/>
      <c r="N20" s="3"/>
      <c r="O20" s="7"/>
      <c r="P20" s="3"/>
      <c r="Q20" s="3"/>
      <c r="R20" s="3"/>
      <c r="S20" s="3"/>
      <c r="T20" s="3"/>
      <c r="U20" s="3"/>
      <c r="V20" s="3"/>
      <c r="W20" s="3"/>
    </row>
    <row r="21" ht="15.75" customHeight="1">
      <c r="A21" s="3" t="s">
        <v>34</v>
      </c>
      <c r="B21" s="3" t="s">
        <v>9</v>
      </c>
      <c r="C21" s="3" t="s">
        <v>10</v>
      </c>
      <c r="D21" s="4">
        <v>45663.0</v>
      </c>
      <c r="E21" s="3">
        <v>50.0</v>
      </c>
      <c r="F21" s="5">
        <v>3.0</v>
      </c>
      <c r="G21" s="3">
        <v>3458.0</v>
      </c>
      <c r="H21" s="3" t="str">
        <f>VLOOKUP(B21,'Currency Table'!$M$3:$N$6,2, FALSE)</f>
        <v>PLN</v>
      </c>
      <c r="I21" s="3"/>
      <c r="J21" s="3"/>
      <c r="K21" s="3"/>
      <c r="L21" s="3"/>
      <c r="M21" s="3"/>
      <c r="N21" s="3"/>
      <c r="O21" s="7"/>
      <c r="P21" s="3"/>
      <c r="Q21" s="3"/>
      <c r="R21" s="3"/>
      <c r="S21" s="3"/>
      <c r="T21" s="3"/>
      <c r="U21" s="3"/>
      <c r="V21" s="3"/>
      <c r="W21" s="3"/>
    </row>
    <row r="22" ht="15.75" customHeight="1">
      <c r="A22" s="3" t="s">
        <v>35</v>
      </c>
      <c r="B22" s="3" t="s">
        <v>9</v>
      </c>
      <c r="C22" s="3" t="s">
        <v>10</v>
      </c>
      <c r="D22" s="4">
        <v>45663.0</v>
      </c>
      <c r="E22" s="3">
        <v>22.0</v>
      </c>
      <c r="F22" s="5">
        <v>0.0</v>
      </c>
      <c r="G22" s="3">
        <v>1816.0</v>
      </c>
      <c r="H22" s="3" t="str">
        <f>VLOOKUP(B22,'Currency Table'!$M$3:$N$6,2, FALSE)</f>
        <v>PLN</v>
      </c>
      <c r="I22" s="3"/>
      <c r="J22" s="3"/>
      <c r="K22" s="3"/>
      <c r="L22" s="3"/>
      <c r="M22" s="3"/>
      <c r="N22" s="3"/>
      <c r="O22" s="7"/>
      <c r="P22" s="3"/>
      <c r="Q22" s="3"/>
      <c r="R22" s="3"/>
      <c r="S22" s="3"/>
      <c r="T22" s="3"/>
      <c r="U22" s="3"/>
      <c r="V22" s="3"/>
      <c r="W22" s="3"/>
    </row>
    <row r="23" ht="15.75" customHeight="1">
      <c r="A23" s="3" t="s">
        <v>36</v>
      </c>
      <c r="B23" s="3" t="s">
        <v>9</v>
      </c>
      <c r="C23" s="3" t="s">
        <v>30</v>
      </c>
      <c r="D23" s="4">
        <v>45663.0</v>
      </c>
      <c r="E23" s="3">
        <v>62.0</v>
      </c>
      <c r="F23" s="5">
        <v>1.0</v>
      </c>
      <c r="G23" s="3">
        <v>4483.0</v>
      </c>
      <c r="H23" s="3" t="str">
        <f>VLOOKUP(B23,'Currency Table'!$M$3:$N$6,2, FALSE)</f>
        <v>PLN</v>
      </c>
      <c r="I23" s="3"/>
      <c r="J23" s="3"/>
      <c r="K23" s="3"/>
      <c r="L23" s="3"/>
      <c r="M23" s="3"/>
      <c r="N23" s="3"/>
      <c r="O23" s="7"/>
      <c r="P23" s="3"/>
      <c r="Q23" s="3"/>
      <c r="R23" s="3"/>
      <c r="S23" s="3"/>
      <c r="T23" s="3"/>
      <c r="U23" s="3"/>
      <c r="V23" s="3"/>
      <c r="W23" s="3"/>
    </row>
    <row r="24" ht="15.75" customHeight="1">
      <c r="A24" s="3" t="s">
        <v>37</v>
      </c>
      <c r="B24" s="3" t="s">
        <v>9</v>
      </c>
      <c r="C24" s="3" t="s">
        <v>10</v>
      </c>
      <c r="D24" s="4">
        <v>45663.0</v>
      </c>
      <c r="E24" s="3">
        <v>22.0</v>
      </c>
      <c r="F24" s="5">
        <v>5.0</v>
      </c>
      <c r="G24" s="3">
        <v>1704.0</v>
      </c>
      <c r="H24" s="3" t="str">
        <f>VLOOKUP(B24,'Currency Table'!$M$3:$N$6,2, FALSE)</f>
        <v>PLN</v>
      </c>
      <c r="I24" s="3"/>
      <c r="J24" s="3"/>
      <c r="K24" s="3"/>
      <c r="L24" s="3"/>
      <c r="M24" s="3"/>
      <c r="N24" s="3"/>
      <c r="O24" s="7"/>
      <c r="P24" s="3"/>
      <c r="Q24" s="3"/>
      <c r="R24" s="3"/>
      <c r="S24" s="3"/>
      <c r="T24" s="3"/>
      <c r="U24" s="3"/>
      <c r="V24" s="3"/>
      <c r="W24" s="3"/>
    </row>
    <row r="25" ht="15.75" customHeight="1">
      <c r="A25" s="3" t="s">
        <v>38</v>
      </c>
      <c r="B25" s="3" t="s">
        <v>9</v>
      </c>
      <c r="C25" s="3" t="s">
        <v>10</v>
      </c>
      <c r="D25" s="4">
        <v>45663.0</v>
      </c>
      <c r="E25" s="3">
        <v>42.0</v>
      </c>
      <c r="F25" s="5">
        <v>6.0</v>
      </c>
      <c r="G25" s="3">
        <v>2166.0</v>
      </c>
      <c r="H25" s="3" t="str">
        <f>VLOOKUP(B25,'Currency Table'!$M$3:$N$6,2, FALSE)</f>
        <v>PLN</v>
      </c>
      <c r="I25" s="3"/>
      <c r="J25" s="3"/>
      <c r="K25" s="3"/>
      <c r="L25" s="3"/>
      <c r="M25" s="3"/>
      <c r="N25" s="3"/>
      <c r="O25" s="7"/>
      <c r="P25" s="3"/>
      <c r="Q25" s="3"/>
      <c r="R25" s="3"/>
      <c r="S25" s="3"/>
      <c r="T25" s="3"/>
      <c r="U25" s="3"/>
      <c r="V25" s="3"/>
      <c r="W25" s="3"/>
    </row>
    <row r="26" ht="15.75" customHeight="1">
      <c r="A26" s="3" t="s">
        <v>39</v>
      </c>
      <c r="B26" s="3" t="s">
        <v>9</v>
      </c>
      <c r="C26" s="3" t="s">
        <v>10</v>
      </c>
      <c r="D26" s="4">
        <v>45663.0</v>
      </c>
      <c r="E26" s="3">
        <v>61.0</v>
      </c>
      <c r="F26" s="5">
        <v>4.0</v>
      </c>
      <c r="G26" s="3">
        <v>3940.0</v>
      </c>
      <c r="H26" s="3" t="str">
        <f>VLOOKUP(B26,'Currency Table'!$M$3:$N$6,2, FALSE)</f>
        <v>PLN</v>
      </c>
      <c r="I26" s="3"/>
      <c r="J26" s="3"/>
      <c r="K26" s="3"/>
      <c r="L26" s="3"/>
      <c r="M26" s="3"/>
      <c r="N26" s="3"/>
      <c r="O26" s="7"/>
      <c r="P26" s="3"/>
      <c r="Q26" s="3"/>
      <c r="R26" s="3"/>
      <c r="S26" s="3"/>
      <c r="T26" s="3"/>
      <c r="U26" s="3"/>
      <c r="V26" s="3"/>
      <c r="W26" s="3"/>
    </row>
    <row r="27" ht="15.75" customHeight="1">
      <c r="A27" s="3" t="s">
        <v>40</v>
      </c>
      <c r="B27" s="3" t="s">
        <v>9</v>
      </c>
      <c r="C27" s="3" t="s">
        <v>12</v>
      </c>
      <c r="D27" s="4">
        <v>45663.0</v>
      </c>
      <c r="E27" s="3">
        <v>39.0</v>
      </c>
      <c r="F27" s="5">
        <v>1.0</v>
      </c>
      <c r="G27" s="3">
        <v>2985.0</v>
      </c>
      <c r="H27" s="3" t="str">
        <f>VLOOKUP(B27,'Currency Table'!$M$3:$N$6,2, FALSE)</f>
        <v>PLN</v>
      </c>
      <c r="I27" s="3"/>
      <c r="J27" s="3"/>
      <c r="K27" s="3"/>
      <c r="L27" s="3"/>
      <c r="M27" s="3"/>
      <c r="N27" s="3"/>
      <c r="O27" s="7"/>
      <c r="P27" s="3"/>
      <c r="Q27" s="3"/>
      <c r="R27" s="3"/>
      <c r="S27" s="3"/>
      <c r="T27" s="3"/>
      <c r="U27" s="3"/>
      <c r="V27" s="3"/>
      <c r="W27" s="3"/>
    </row>
    <row r="28" ht="15.75" customHeight="1">
      <c r="A28" s="3" t="s">
        <v>41</v>
      </c>
      <c r="B28" s="3" t="s">
        <v>9</v>
      </c>
      <c r="C28" s="3" t="s">
        <v>10</v>
      </c>
      <c r="D28" s="4">
        <v>45663.0</v>
      </c>
      <c r="E28" s="3">
        <v>64.0</v>
      </c>
      <c r="F28" s="5">
        <v>2.0</v>
      </c>
      <c r="G28" s="3">
        <v>3979.0</v>
      </c>
      <c r="H28" s="3" t="str">
        <f>VLOOKUP(B28,'Currency Table'!$M$3:$N$6,2, FALSE)</f>
        <v>PLN</v>
      </c>
      <c r="I28" s="3"/>
      <c r="J28" s="3"/>
      <c r="K28" s="3"/>
      <c r="L28" s="3"/>
      <c r="M28" s="3"/>
      <c r="N28" s="3"/>
      <c r="O28" s="7"/>
      <c r="P28" s="3"/>
      <c r="Q28" s="3"/>
      <c r="R28" s="3"/>
      <c r="S28" s="3"/>
      <c r="T28" s="3"/>
      <c r="U28" s="3"/>
      <c r="V28" s="3"/>
      <c r="W28" s="3"/>
    </row>
    <row r="29" ht="15.75" customHeight="1">
      <c r="A29" s="3" t="s">
        <v>42</v>
      </c>
      <c r="B29" s="3" t="s">
        <v>9</v>
      </c>
      <c r="C29" s="3" t="s">
        <v>23</v>
      </c>
      <c r="D29" s="4">
        <v>45663.0</v>
      </c>
      <c r="E29" s="3">
        <v>62.0</v>
      </c>
      <c r="F29" s="5">
        <v>2.0</v>
      </c>
      <c r="G29" s="3">
        <v>4397.0</v>
      </c>
      <c r="H29" s="3" t="str">
        <f>VLOOKUP(B29,'Currency Table'!$M$3:$N$6,2, FALSE)</f>
        <v>PLN</v>
      </c>
      <c r="I29" s="3"/>
      <c r="J29" s="3"/>
      <c r="K29" s="3"/>
      <c r="L29" s="3"/>
      <c r="M29" s="3"/>
      <c r="N29" s="3"/>
      <c r="O29" s="7"/>
      <c r="P29" s="3"/>
      <c r="Q29" s="3"/>
      <c r="R29" s="3"/>
      <c r="S29" s="3"/>
      <c r="T29" s="3"/>
      <c r="U29" s="3"/>
      <c r="V29" s="3"/>
      <c r="W29" s="3"/>
    </row>
    <row r="30" ht="15.75" customHeight="1">
      <c r="A30" s="3" t="s">
        <v>43</v>
      </c>
      <c r="B30" s="3" t="s">
        <v>9</v>
      </c>
      <c r="C30" s="3" t="s">
        <v>16</v>
      </c>
      <c r="D30" s="4">
        <v>45663.0</v>
      </c>
      <c r="E30" s="3">
        <v>47.0</v>
      </c>
      <c r="F30" s="5">
        <v>0.0</v>
      </c>
      <c r="G30" s="3">
        <v>3289.0</v>
      </c>
      <c r="H30" s="3" t="str">
        <f>VLOOKUP(B30,'Currency Table'!$M$3:$N$6,2, FALSE)</f>
        <v>PLN</v>
      </c>
      <c r="I30" s="3"/>
      <c r="J30" s="3"/>
      <c r="K30" s="3"/>
      <c r="L30" s="3"/>
      <c r="M30" s="3"/>
      <c r="N30" s="3"/>
      <c r="O30" s="7"/>
      <c r="P30" s="3"/>
      <c r="Q30" s="3"/>
      <c r="R30" s="3"/>
      <c r="S30" s="3"/>
      <c r="T30" s="3"/>
      <c r="U30" s="3"/>
      <c r="V30" s="3"/>
      <c r="W30" s="3"/>
    </row>
    <row r="31" ht="15.75" customHeight="1">
      <c r="A31" s="3" t="s">
        <v>44</v>
      </c>
      <c r="B31" s="3" t="s">
        <v>9</v>
      </c>
      <c r="C31" s="3" t="s">
        <v>23</v>
      </c>
      <c r="D31" s="4">
        <v>45663.0</v>
      </c>
      <c r="E31" s="3">
        <v>20.0</v>
      </c>
      <c r="F31" s="5">
        <v>1.0</v>
      </c>
      <c r="G31" s="3">
        <v>1302.0</v>
      </c>
      <c r="H31" s="3" t="str">
        <f>VLOOKUP(B31,'Currency Table'!$M$3:$N$6,2, FALSE)</f>
        <v>PLN</v>
      </c>
      <c r="I31" s="3"/>
      <c r="J31" s="3"/>
      <c r="K31" s="3"/>
      <c r="L31" s="3"/>
      <c r="M31" s="3"/>
      <c r="N31" s="3"/>
      <c r="O31" s="7"/>
      <c r="P31" s="3"/>
      <c r="Q31" s="3"/>
      <c r="R31" s="3"/>
      <c r="S31" s="3"/>
      <c r="T31" s="3"/>
      <c r="U31" s="3"/>
      <c r="V31" s="3"/>
      <c r="W31" s="3"/>
    </row>
    <row r="32" ht="15.75" customHeight="1">
      <c r="A32" s="3" t="s">
        <v>45</v>
      </c>
      <c r="B32" s="3" t="s">
        <v>9</v>
      </c>
      <c r="C32" s="3" t="s">
        <v>30</v>
      </c>
      <c r="D32" s="4">
        <v>45663.0</v>
      </c>
      <c r="E32" s="3">
        <v>29.0</v>
      </c>
      <c r="F32" s="5">
        <v>1.0</v>
      </c>
      <c r="G32" s="3">
        <v>1484.0</v>
      </c>
      <c r="H32" s="3" t="str">
        <f>VLOOKUP(B32,'Currency Table'!$M$3:$N$6,2, FALSE)</f>
        <v>PLN</v>
      </c>
      <c r="I32" s="3"/>
      <c r="J32" s="3"/>
      <c r="K32" s="3"/>
      <c r="L32" s="3"/>
      <c r="M32" s="3"/>
      <c r="N32" s="3"/>
      <c r="O32" s="7"/>
      <c r="P32" s="3"/>
      <c r="Q32" s="3"/>
      <c r="R32" s="3"/>
      <c r="S32" s="3"/>
      <c r="T32" s="3"/>
      <c r="U32" s="3"/>
      <c r="V32" s="3"/>
      <c r="W32" s="3"/>
    </row>
    <row r="33" ht="15.75" customHeight="1">
      <c r="A33" s="3" t="s">
        <v>46</v>
      </c>
      <c r="B33" s="3" t="s">
        <v>9</v>
      </c>
      <c r="C33" s="3" t="s">
        <v>30</v>
      </c>
      <c r="D33" s="4">
        <v>45663.0</v>
      </c>
      <c r="E33" s="3">
        <v>66.0</v>
      </c>
      <c r="F33" s="5">
        <v>4.0</v>
      </c>
      <c r="G33" s="3">
        <v>3920.0</v>
      </c>
      <c r="H33" s="3" t="str">
        <f>VLOOKUP(B33,'Currency Table'!$M$3:$N$6,2, FALSE)</f>
        <v>PLN</v>
      </c>
      <c r="I33" s="3"/>
      <c r="J33" s="3"/>
      <c r="K33" s="3"/>
      <c r="L33" s="3"/>
      <c r="M33" s="3"/>
      <c r="N33" s="3"/>
      <c r="O33" s="7"/>
      <c r="P33" s="3"/>
      <c r="Q33" s="3"/>
      <c r="R33" s="3"/>
      <c r="S33" s="3"/>
      <c r="T33" s="3"/>
      <c r="U33" s="3"/>
      <c r="V33" s="3"/>
      <c r="W33" s="3"/>
    </row>
    <row r="34" ht="15.75" customHeight="1">
      <c r="A34" s="3" t="s">
        <v>47</v>
      </c>
      <c r="B34" s="3" t="s">
        <v>9</v>
      </c>
      <c r="C34" s="3" t="s">
        <v>16</v>
      </c>
      <c r="D34" s="4">
        <v>45663.0</v>
      </c>
      <c r="E34" s="3">
        <v>16.0</v>
      </c>
      <c r="F34" s="5">
        <v>1.0</v>
      </c>
      <c r="G34" s="3">
        <v>1873.0</v>
      </c>
      <c r="H34" s="3" t="str">
        <f>VLOOKUP(B34,'Currency Table'!$M$3:$N$6,2, FALSE)</f>
        <v>PLN</v>
      </c>
      <c r="I34" s="3"/>
      <c r="J34" s="3"/>
      <c r="K34" s="3"/>
      <c r="L34" s="3"/>
      <c r="M34" s="3"/>
      <c r="N34" s="3"/>
      <c r="O34" s="7"/>
      <c r="P34" s="3"/>
      <c r="Q34" s="3"/>
      <c r="R34" s="3"/>
      <c r="S34" s="3"/>
      <c r="T34" s="3"/>
      <c r="U34" s="3"/>
      <c r="V34" s="3"/>
      <c r="W34" s="3"/>
    </row>
    <row r="35" ht="15.75" customHeight="1">
      <c r="A35" s="3" t="s">
        <v>48</v>
      </c>
      <c r="B35" s="3" t="s">
        <v>9</v>
      </c>
      <c r="C35" s="3" t="s">
        <v>16</v>
      </c>
      <c r="D35" s="4">
        <v>45663.0</v>
      </c>
      <c r="E35" s="3">
        <v>25.0</v>
      </c>
      <c r="F35" s="5">
        <v>1.0</v>
      </c>
      <c r="G35" s="3">
        <v>1142.0</v>
      </c>
      <c r="H35" s="3" t="str">
        <f>VLOOKUP(B35,'Currency Table'!$M$3:$N$6,2, FALSE)</f>
        <v>PLN</v>
      </c>
      <c r="I35" s="3"/>
      <c r="J35" s="3"/>
      <c r="K35" s="3"/>
      <c r="L35" s="3"/>
      <c r="M35" s="3"/>
      <c r="N35" s="3"/>
      <c r="O35" s="7"/>
      <c r="P35" s="3"/>
      <c r="Q35" s="3"/>
      <c r="R35" s="3"/>
      <c r="S35" s="3"/>
      <c r="T35" s="3"/>
      <c r="U35" s="3"/>
      <c r="V35" s="3"/>
      <c r="W35" s="3"/>
    </row>
    <row r="36" ht="15.75" customHeight="1">
      <c r="A36" s="3" t="s">
        <v>49</v>
      </c>
      <c r="B36" s="3" t="s">
        <v>9</v>
      </c>
      <c r="C36" s="3" t="s">
        <v>14</v>
      </c>
      <c r="D36" s="4">
        <v>45663.0</v>
      </c>
      <c r="E36" s="3">
        <v>48.0</v>
      </c>
      <c r="F36" s="5">
        <v>3.0</v>
      </c>
      <c r="G36" s="3">
        <v>3596.0</v>
      </c>
      <c r="H36" s="3" t="str">
        <f>VLOOKUP(B36,'Currency Table'!$M$3:$N$6,2, FALSE)</f>
        <v>PLN</v>
      </c>
      <c r="I36" s="3"/>
      <c r="J36" s="3"/>
      <c r="K36" s="3"/>
      <c r="L36" s="3"/>
      <c r="M36" s="3"/>
      <c r="N36" s="3"/>
      <c r="O36" s="7"/>
      <c r="P36" s="3"/>
      <c r="Q36" s="3"/>
      <c r="R36" s="3"/>
      <c r="S36" s="3"/>
      <c r="T36" s="3"/>
      <c r="U36" s="3"/>
      <c r="V36" s="3"/>
      <c r="W36" s="3"/>
    </row>
    <row r="37" ht="15.75" customHeight="1">
      <c r="A37" s="3" t="s">
        <v>50</v>
      </c>
      <c r="B37" s="3" t="s">
        <v>9</v>
      </c>
      <c r="C37" s="3" t="s">
        <v>16</v>
      </c>
      <c r="D37" s="4">
        <v>45663.0</v>
      </c>
      <c r="E37" s="3">
        <v>53.0</v>
      </c>
      <c r="F37" s="5">
        <v>1.0</v>
      </c>
      <c r="G37" s="3">
        <v>3877.0</v>
      </c>
      <c r="H37" s="3" t="str">
        <f>VLOOKUP(B37,'Currency Table'!$M$3:$N$6,2, FALSE)</f>
        <v>PLN</v>
      </c>
      <c r="I37" s="3"/>
      <c r="J37" s="3"/>
      <c r="K37" s="3"/>
      <c r="L37" s="3"/>
      <c r="M37" s="3"/>
      <c r="N37" s="3"/>
      <c r="O37" s="7"/>
      <c r="P37" s="3"/>
      <c r="Q37" s="3"/>
      <c r="R37" s="3"/>
      <c r="S37" s="3"/>
      <c r="T37" s="3"/>
      <c r="U37" s="3"/>
      <c r="V37" s="3"/>
      <c r="W37" s="3"/>
    </row>
    <row r="38" ht="15.75" customHeight="1">
      <c r="A38" s="3" t="s">
        <v>51</v>
      </c>
      <c r="B38" s="3" t="s">
        <v>9</v>
      </c>
      <c r="C38" s="3" t="s">
        <v>14</v>
      </c>
      <c r="D38" s="4">
        <v>45663.0</v>
      </c>
      <c r="E38" s="3">
        <v>31.0</v>
      </c>
      <c r="F38" s="5">
        <v>0.0</v>
      </c>
      <c r="G38" s="3">
        <v>2817.0</v>
      </c>
      <c r="H38" s="3" t="str">
        <f>VLOOKUP(B38,'Currency Table'!$M$3:$N$6,2, FALSE)</f>
        <v>PLN</v>
      </c>
      <c r="I38" s="3"/>
      <c r="J38" s="3"/>
      <c r="K38" s="3"/>
      <c r="L38" s="3"/>
      <c r="M38" s="3"/>
      <c r="N38" s="3"/>
      <c r="O38" s="7"/>
      <c r="P38" s="3"/>
      <c r="Q38" s="3"/>
      <c r="R38" s="3"/>
      <c r="S38" s="3"/>
      <c r="T38" s="3"/>
      <c r="U38" s="3"/>
      <c r="V38" s="3"/>
      <c r="W38" s="3"/>
    </row>
    <row r="39" ht="15.75" customHeight="1">
      <c r="A39" s="3" t="s">
        <v>52</v>
      </c>
      <c r="B39" s="3" t="s">
        <v>9</v>
      </c>
      <c r="C39" s="3" t="s">
        <v>16</v>
      </c>
      <c r="D39" s="4">
        <v>45663.0</v>
      </c>
      <c r="E39" s="3">
        <v>58.0</v>
      </c>
      <c r="F39" s="5">
        <v>2.0</v>
      </c>
      <c r="G39" s="3">
        <v>3374.0</v>
      </c>
      <c r="H39" s="3" t="str">
        <f>VLOOKUP(B39,'Currency Table'!$M$3:$N$6,2, FALSE)</f>
        <v>PLN</v>
      </c>
      <c r="I39" s="3"/>
      <c r="J39" s="3"/>
      <c r="K39" s="3"/>
      <c r="L39" s="3"/>
      <c r="M39" s="3"/>
      <c r="N39" s="3"/>
      <c r="O39" s="7"/>
      <c r="P39" s="3"/>
      <c r="Q39" s="3"/>
      <c r="R39" s="3"/>
      <c r="S39" s="3"/>
      <c r="T39" s="3"/>
      <c r="U39" s="3"/>
      <c r="V39" s="3"/>
      <c r="W39" s="3"/>
    </row>
    <row r="40" ht="15.75" customHeight="1">
      <c r="A40" s="3" t="s">
        <v>53</v>
      </c>
      <c r="B40" s="3" t="s">
        <v>9</v>
      </c>
      <c r="C40" s="3" t="s">
        <v>14</v>
      </c>
      <c r="D40" s="4">
        <v>45663.0</v>
      </c>
      <c r="E40" s="3">
        <v>51.0</v>
      </c>
      <c r="F40" s="5">
        <v>1.0</v>
      </c>
      <c r="G40" s="3">
        <v>3865.0</v>
      </c>
      <c r="H40" s="3" t="str">
        <f>VLOOKUP(B40,'Currency Table'!$M$3:$N$6,2, FALSE)</f>
        <v>PLN</v>
      </c>
      <c r="I40" s="3"/>
      <c r="J40" s="3"/>
      <c r="K40" s="3"/>
      <c r="L40" s="3"/>
      <c r="M40" s="3"/>
      <c r="N40" s="3"/>
      <c r="O40" s="7"/>
      <c r="P40" s="3"/>
      <c r="Q40" s="3"/>
      <c r="R40" s="3"/>
      <c r="S40" s="3"/>
      <c r="T40" s="3"/>
      <c r="U40" s="3"/>
      <c r="V40" s="3"/>
      <c r="W40" s="3"/>
    </row>
    <row r="41" ht="15.75" customHeight="1">
      <c r="A41" s="3" t="s">
        <v>54</v>
      </c>
      <c r="B41" s="3" t="s">
        <v>9</v>
      </c>
      <c r="C41" s="3" t="s">
        <v>16</v>
      </c>
      <c r="D41" s="4">
        <v>45663.0</v>
      </c>
      <c r="E41" s="3">
        <v>56.0</v>
      </c>
      <c r="F41" s="5">
        <v>5.0</v>
      </c>
      <c r="G41" s="3">
        <v>3422.0</v>
      </c>
      <c r="H41" s="3" t="str">
        <f>VLOOKUP(B41,'Currency Table'!$M$3:$N$6,2, FALSE)</f>
        <v>PLN</v>
      </c>
      <c r="I41" s="3"/>
      <c r="J41" s="3"/>
      <c r="K41" s="3"/>
      <c r="L41" s="3"/>
      <c r="M41" s="3"/>
      <c r="N41" s="3"/>
      <c r="O41" s="7"/>
      <c r="P41" s="3"/>
      <c r="Q41" s="3"/>
      <c r="R41" s="3"/>
      <c r="S41" s="3"/>
      <c r="T41" s="3"/>
      <c r="U41" s="3"/>
      <c r="V41" s="3"/>
      <c r="W41" s="3"/>
    </row>
    <row r="42" ht="15.75" customHeight="1">
      <c r="A42" s="3" t="s">
        <v>55</v>
      </c>
      <c r="B42" s="3" t="s">
        <v>9</v>
      </c>
      <c r="C42" s="3" t="s">
        <v>16</v>
      </c>
      <c r="D42" s="4">
        <v>45663.0</v>
      </c>
      <c r="E42" s="3">
        <v>16.0</v>
      </c>
      <c r="F42" s="5">
        <v>2.0</v>
      </c>
      <c r="G42" s="3">
        <v>1177.0</v>
      </c>
      <c r="H42" s="3" t="str">
        <f>VLOOKUP(B42,'Currency Table'!$M$3:$N$6,2, FALSE)</f>
        <v>PLN</v>
      </c>
      <c r="I42" s="3"/>
      <c r="J42" s="3"/>
      <c r="K42" s="3"/>
      <c r="L42" s="3"/>
      <c r="M42" s="3"/>
      <c r="N42" s="3"/>
      <c r="O42" s="7"/>
      <c r="P42" s="3"/>
      <c r="Q42" s="3"/>
      <c r="R42" s="3"/>
      <c r="S42" s="3"/>
      <c r="T42" s="3"/>
      <c r="U42" s="3"/>
      <c r="V42" s="3"/>
      <c r="W42" s="3"/>
    </row>
    <row r="43" ht="15.75" customHeight="1">
      <c r="A43" s="3" t="s">
        <v>56</v>
      </c>
      <c r="B43" s="3" t="s">
        <v>9</v>
      </c>
      <c r="C43" s="3" t="s">
        <v>10</v>
      </c>
      <c r="D43" s="4">
        <v>45663.0</v>
      </c>
      <c r="E43" s="3">
        <v>37.0</v>
      </c>
      <c r="F43" s="5">
        <v>3.0</v>
      </c>
      <c r="G43" s="3">
        <v>2358.0</v>
      </c>
      <c r="H43" s="3" t="str">
        <f>VLOOKUP(B43,'Currency Table'!$M$3:$N$6,2, FALSE)</f>
        <v>PLN</v>
      </c>
      <c r="I43" s="3"/>
      <c r="J43" s="3"/>
      <c r="K43" s="3"/>
      <c r="L43" s="3"/>
      <c r="M43" s="3"/>
      <c r="N43" s="3"/>
      <c r="O43" s="7"/>
      <c r="P43" s="3"/>
      <c r="Q43" s="3"/>
      <c r="R43" s="3"/>
      <c r="S43" s="3"/>
      <c r="T43" s="3"/>
      <c r="U43" s="3"/>
      <c r="V43" s="3"/>
      <c r="W43" s="3"/>
    </row>
    <row r="44" ht="15.75" customHeight="1">
      <c r="A44" s="3" t="s">
        <v>57</v>
      </c>
      <c r="B44" s="3" t="s">
        <v>9</v>
      </c>
      <c r="C44" s="3" t="s">
        <v>23</v>
      </c>
      <c r="D44" s="4">
        <v>45663.0</v>
      </c>
      <c r="E44" s="3">
        <v>17.0</v>
      </c>
      <c r="F44" s="5">
        <v>3.0</v>
      </c>
      <c r="G44" s="3">
        <v>1232.0</v>
      </c>
      <c r="H44" s="3" t="str">
        <f>VLOOKUP(B44,'Currency Table'!$M$3:$N$6,2, FALSE)</f>
        <v>PLN</v>
      </c>
      <c r="I44" s="3"/>
      <c r="J44" s="3"/>
      <c r="K44" s="3"/>
      <c r="L44" s="3"/>
      <c r="M44" s="3"/>
      <c r="N44" s="3"/>
      <c r="O44" s="7"/>
      <c r="P44" s="3"/>
      <c r="Q44" s="3"/>
      <c r="R44" s="3"/>
      <c r="S44" s="3"/>
      <c r="T44" s="3"/>
      <c r="U44" s="3"/>
      <c r="V44" s="3"/>
      <c r="W44" s="3"/>
    </row>
    <row r="45" ht="15.75" customHeight="1">
      <c r="A45" s="3" t="s">
        <v>58</v>
      </c>
      <c r="B45" s="3" t="s">
        <v>9</v>
      </c>
      <c r="C45" s="3" t="s">
        <v>16</v>
      </c>
      <c r="D45" s="4">
        <v>45663.0</v>
      </c>
      <c r="E45" s="3">
        <v>15.0</v>
      </c>
      <c r="F45" s="5">
        <v>2.0</v>
      </c>
      <c r="G45" s="3">
        <v>747.0</v>
      </c>
      <c r="H45" s="3" t="str">
        <f>VLOOKUP(B45,'Currency Table'!$M$3:$N$6,2, FALSE)</f>
        <v>PLN</v>
      </c>
      <c r="I45" s="3"/>
      <c r="J45" s="3"/>
      <c r="K45" s="3"/>
      <c r="L45" s="3"/>
      <c r="M45" s="3"/>
      <c r="N45" s="3"/>
      <c r="O45" s="7"/>
      <c r="P45" s="3"/>
      <c r="Q45" s="3"/>
      <c r="R45" s="3"/>
      <c r="S45" s="3"/>
      <c r="T45" s="3"/>
      <c r="U45" s="3"/>
      <c r="V45" s="3"/>
      <c r="W45" s="3"/>
    </row>
    <row r="46" ht="15.75" customHeight="1">
      <c r="A46" s="3" t="s">
        <v>59</v>
      </c>
      <c r="B46" s="3" t="s">
        <v>9</v>
      </c>
      <c r="C46" s="3" t="s">
        <v>12</v>
      </c>
      <c r="D46" s="4">
        <v>45663.0</v>
      </c>
      <c r="E46" s="3">
        <v>25.0</v>
      </c>
      <c r="F46" s="5">
        <v>1.0</v>
      </c>
      <c r="G46" s="3">
        <v>1803.0</v>
      </c>
      <c r="H46" s="3" t="str">
        <f>VLOOKUP(B46,'Currency Table'!$M$3:$N$6,2, FALSE)</f>
        <v>PLN</v>
      </c>
      <c r="I46" s="3"/>
      <c r="J46" s="3"/>
      <c r="K46" s="3"/>
      <c r="L46" s="3"/>
      <c r="M46" s="3"/>
      <c r="N46" s="3"/>
      <c r="O46" s="7"/>
      <c r="P46" s="3"/>
      <c r="Q46" s="3"/>
      <c r="R46" s="3"/>
      <c r="S46" s="3"/>
      <c r="T46" s="3"/>
      <c r="U46" s="3"/>
      <c r="V46" s="3"/>
      <c r="W46" s="3"/>
    </row>
    <row r="47" ht="15.75" customHeight="1">
      <c r="A47" s="3" t="s">
        <v>60</v>
      </c>
      <c r="B47" s="3" t="s">
        <v>9</v>
      </c>
      <c r="C47" s="3" t="s">
        <v>23</v>
      </c>
      <c r="D47" s="4">
        <v>45663.0</v>
      </c>
      <c r="E47" s="3">
        <v>52.0</v>
      </c>
      <c r="F47" s="5">
        <v>0.0</v>
      </c>
      <c r="G47" s="3">
        <v>3716.0</v>
      </c>
      <c r="H47" s="3" t="str">
        <f>VLOOKUP(B47,'Currency Table'!$M$3:$N$6,2, FALSE)</f>
        <v>PLN</v>
      </c>
      <c r="I47" s="3"/>
      <c r="J47" s="3"/>
      <c r="K47" s="3"/>
      <c r="L47" s="3"/>
      <c r="M47" s="3"/>
      <c r="N47" s="3"/>
      <c r="O47" s="7"/>
      <c r="P47" s="3"/>
      <c r="Q47" s="3"/>
      <c r="R47" s="3"/>
      <c r="S47" s="3"/>
      <c r="T47" s="3"/>
      <c r="U47" s="3"/>
      <c r="V47" s="3"/>
      <c r="W47" s="3"/>
    </row>
    <row r="48" ht="15.75" customHeight="1">
      <c r="A48" s="3" t="s">
        <v>61</v>
      </c>
      <c r="B48" s="3" t="s">
        <v>9</v>
      </c>
      <c r="C48" s="3" t="s">
        <v>12</v>
      </c>
      <c r="D48" s="4">
        <v>45663.0</v>
      </c>
      <c r="E48" s="3">
        <v>37.0</v>
      </c>
      <c r="F48" s="5">
        <v>1.0</v>
      </c>
      <c r="G48" s="3">
        <v>2958.0</v>
      </c>
      <c r="H48" s="3" t="str">
        <f>VLOOKUP(B48,'Currency Table'!$M$3:$N$6,2, FALSE)</f>
        <v>PLN</v>
      </c>
      <c r="I48" s="3"/>
      <c r="J48" s="3"/>
      <c r="K48" s="3"/>
      <c r="L48" s="3"/>
      <c r="M48" s="3"/>
      <c r="N48" s="3"/>
      <c r="O48" s="7"/>
      <c r="P48" s="3"/>
      <c r="Q48" s="3"/>
      <c r="R48" s="3"/>
      <c r="S48" s="3"/>
      <c r="T48" s="3"/>
      <c r="U48" s="3"/>
      <c r="V48" s="3"/>
      <c r="W48" s="3"/>
    </row>
    <row r="49" ht="15.75" customHeight="1">
      <c r="A49" s="3" t="s">
        <v>62</v>
      </c>
      <c r="B49" s="3" t="s">
        <v>9</v>
      </c>
      <c r="C49" s="3" t="s">
        <v>23</v>
      </c>
      <c r="D49" s="4">
        <v>45663.0</v>
      </c>
      <c r="E49" s="3">
        <v>13.0</v>
      </c>
      <c r="F49" s="5">
        <v>5.0</v>
      </c>
      <c r="G49" s="3">
        <v>1278.0</v>
      </c>
      <c r="H49" s="3" t="str">
        <f>VLOOKUP(B49,'Currency Table'!$M$3:$N$6,2, FALSE)</f>
        <v>PLN</v>
      </c>
      <c r="I49" s="3"/>
      <c r="J49" s="3"/>
      <c r="K49" s="3"/>
      <c r="L49" s="3"/>
      <c r="M49" s="3"/>
      <c r="N49" s="3"/>
      <c r="O49" s="7"/>
      <c r="P49" s="3"/>
      <c r="Q49" s="3"/>
      <c r="R49" s="3"/>
      <c r="S49" s="3"/>
      <c r="T49" s="3"/>
      <c r="U49" s="3"/>
      <c r="V49" s="3"/>
      <c r="W49" s="3"/>
    </row>
    <row r="50" ht="15.75" customHeight="1">
      <c r="A50" s="3" t="s">
        <v>63</v>
      </c>
      <c r="B50" s="3" t="s">
        <v>9</v>
      </c>
      <c r="C50" s="3" t="s">
        <v>30</v>
      </c>
      <c r="D50" s="4">
        <v>45663.0</v>
      </c>
      <c r="E50" s="3">
        <v>40.0</v>
      </c>
      <c r="F50" s="5">
        <v>3.0</v>
      </c>
      <c r="G50" s="3">
        <v>2449.0</v>
      </c>
      <c r="H50" s="3" t="str">
        <f>VLOOKUP(B50,'Currency Table'!$M$3:$N$6,2, FALSE)</f>
        <v>PLN</v>
      </c>
      <c r="I50" s="3"/>
      <c r="J50" s="3"/>
      <c r="K50" s="3"/>
      <c r="L50" s="3"/>
      <c r="M50" s="3"/>
      <c r="N50" s="3"/>
      <c r="O50" s="7"/>
      <c r="P50" s="3"/>
      <c r="Q50" s="3"/>
      <c r="R50" s="3"/>
      <c r="S50" s="3"/>
      <c r="T50" s="3"/>
      <c r="U50" s="3"/>
      <c r="V50" s="3"/>
      <c r="W50" s="3"/>
    </row>
    <row r="51" ht="15.75" customHeight="1">
      <c r="A51" s="3" t="s">
        <v>64</v>
      </c>
      <c r="B51" s="3" t="s">
        <v>9</v>
      </c>
      <c r="C51" s="3" t="s">
        <v>14</v>
      </c>
      <c r="D51" s="4">
        <v>45663.0</v>
      </c>
      <c r="E51" s="3">
        <v>55.0</v>
      </c>
      <c r="F51" s="5">
        <v>7.0</v>
      </c>
      <c r="G51" s="3">
        <v>3558.0</v>
      </c>
      <c r="H51" s="3" t="str">
        <f>VLOOKUP(B51,'Currency Table'!$M$3:$N$6,2, FALSE)</f>
        <v>PLN</v>
      </c>
      <c r="I51" s="3"/>
      <c r="J51" s="3"/>
      <c r="K51" s="3"/>
      <c r="L51" s="3"/>
      <c r="M51" s="3"/>
      <c r="N51" s="3"/>
      <c r="O51" s="7"/>
      <c r="P51" s="3"/>
      <c r="Q51" s="3"/>
      <c r="R51" s="3"/>
      <c r="S51" s="3"/>
      <c r="T51" s="3"/>
      <c r="U51" s="3"/>
      <c r="V51" s="3"/>
      <c r="W51" s="3"/>
    </row>
    <row r="52" ht="15.75" customHeight="1">
      <c r="A52" s="3" t="s">
        <v>65</v>
      </c>
      <c r="B52" s="3" t="s">
        <v>9</v>
      </c>
      <c r="C52" s="3" t="s">
        <v>12</v>
      </c>
      <c r="D52" s="4">
        <v>45663.0</v>
      </c>
      <c r="E52" s="3">
        <v>68.0</v>
      </c>
      <c r="F52" s="5">
        <v>3.0</v>
      </c>
      <c r="G52" s="3">
        <v>4063.0</v>
      </c>
      <c r="H52" s="3" t="str">
        <f>VLOOKUP(B52,'Currency Table'!$M$3:$N$6,2, FALSE)</f>
        <v>PLN</v>
      </c>
      <c r="I52" s="3"/>
      <c r="J52" s="3"/>
      <c r="K52" s="3"/>
      <c r="L52" s="3"/>
      <c r="M52" s="3"/>
      <c r="N52" s="3"/>
      <c r="O52" s="7"/>
      <c r="P52" s="3"/>
      <c r="Q52" s="3"/>
      <c r="R52" s="3"/>
      <c r="S52" s="3"/>
      <c r="T52" s="3"/>
      <c r="U52" s="3"/>
      <c r="V52" s="3"/>
      <c r="W52" s="3"/>
    </row>
    <row r="53" ht="15.75" customHeight="1">
      <c r="A53" s="3" t="s">
        <v>66</v>
      </c>
      <c r="B53" s="3" t="s">
        <v>9</v>
      </c>
      <c r="C53" s="3" t="s">
        <v>23</v>
      </c>
      <c r="D53" s="4">
        <v>45663.0</v>
      </c>
      <c r="E53" s="3">
        <v>50.0</v>
      </c>
      <c r="F53" s="5">
        <v>1.0</v>
      </c>
      <c r="G53" s="3">
        <v>3221.0</v>
      </c>
      <c r="H53" s="3" t="str">
        <f>VLOOKUP(B53,'Currency Table'!$M$3:$N$6,2, FALSE)</f>
        <v>PLN</v>
      </c>
      <c r="I53" s="3"/>
      <c r="J53" s="3"/>
      <c r="K53" s="3"/>
      <c r="L53" s="3"/>
      <c r="M53" s="3"/>
      <c r="N53" s="3"/>
      <c r="O53" s="7"/>
      <c r="P53" s="3"/>
      <c r="Q53" s="3"/>
      <c r="R53" s="3"/>
      <c r="S53" s="3"/>
      <c r="T53" s="3"/>
      <c r="U53" s="3"/>
      <c r="V53" s="3"/>
      <c r="W53" s="3"/>
    </row>
    <row r="54" ht="15.75" customHeight="1">
      <c r="A54" s="3" t="s">
        <v>67</v>
      </c>
      <c r="B54" s="3" t="s">
        <v>9</v>
      </c>
      <c r="C54" s="3" t="s">
        <v>10</v>
      </c>
      <c r="D54" s="4">
        <v>45663.0</v>
      </c>
      <c r="E54" s="3">
        <v>19.0</v>
      </c>
      <c r="F54" s="5">
        <v>3.0</v>
      </c>
      <c r="G54" s="3">
        <v>1727.0</v>
      </c>
      <c r="H54" s="3" t="str">
        <f>VLOOKUP(B54,'Currency Table'!$M$3:$N$6,2, FALSE)</f>
        <v>PLN</v>
      </c>
      <c r="I54" s="3"/>
      <c r="J54" s="3"/>
      <c r="K54" s="3"/>
      <c r="L54" s="3"/>
      <c r="M54" s="3"/>
      <c r="N54" s="3"/>
      <c r="O54" s="7"/>
      <c r="P54" s="3"/>
      <c r="Q54" s="3"/>
      <c r="R54" s="3"/>
      <c r="S54" s="3"/>
      <c r="T54" s="3"/>
      <c r="U54" s="3"/>
      <c r="V54" s="3"/>
      <c r="W54" s="3"/>
    </row>
    <row r="55" ht="15.75" customHeight="1">
      <c r="A55" s="3" t="s">
        <v>68</v>
      </c>
      <c r="B55" s="3" t="s">
        <v>9</v>
      </c>
      <c r="C55" s="3" t="s">
        <v>30</v>
      </c>
      <c r="D55" s="4">
        <v>45663.0</v>
      </c>
      <c r="E55" s="3">
        <v>31.0</v>
      </c>
      <c r="F55" s="5">
        <v>4.0</v>
      </c>
      <c r="G55" s="3">
        <v>2032.0</v>
      </c>
      <c r="H55" s="3" t="str">
        <f>VLOOKUP(B55,'Currency Table'!$M$3:$N$6,2, FALSE)</f>
        <v>PLN</v>
      </c>
      <c r="I55" s="3"/>
      <c r="J55" s="3"/>
      <c r="K55" s="3"/>
      <c r="L55" s="3"/>
      <c r="M55" s="3"/>
      <c r="N55" s="3"/>
      <c r="O55" s="7"/>
      <c r="P55" s="3"/>
      <c r="Q55" s="3"/>
      <c r="R55" s="3"/>
      <c r="S55" s="3"/>
      <c r="T55" s="3"/>
      <c r="U55" s="3"/>
      <c r="V55" s="3"/>
      <c r="W55" s="3"/>
    </row>
    <row r="56" ht="15.75" customHeight="1">
      <c r="A56" s="3" t="s">
        <v>69</v>
      </c>
      <c r="B56" s="3" t="s">
        <v>9</v>
      </c>
      <c r="C56" s="3" t="s">
        <v>23</v>
      </c>
      <c r="D56" s="4">
        <v>45663.0</v>
      </c>
      <c r="E56" s="3">
        <v>65.0</v>
      </c>
      <c r="F56" s="5">
        <v>1.0</v>
      </c>
      <c r="G56" s="3">
        <v>4164.0</v>
      </c>
      <c r="H56" s="3" t="str">
        <f>VLOOKUP(B56,'Currency Table'!$M$3:$N$6,2, FALSE)</f>
        <v>PLN</v>
      </c>
      <c r="I56" s="3"/>
      <c r="J56" s="3"/>
      <c r="K56" s="3"/>
      <c r="L56" s="3"/>
      <c r="M56" s="3"/>
      <c r="N56" s="3"/>
      <c r="O56" s="7"/>
      <c r="P56" s="3"/>
      <c r="Q56" s="3"/>
      <c r="R56" s="3"/>
      <c r="S56" s="3"/>
      <c r="T56" s="3"/>
      <c r="U56" s="3"/>
      <c r="V56" s="3"/>
      <c r="W56" s="3"/>
    </row>
    <row r="57" ht="15.75" customHeight="1">
      <c r="A57" s="3" t="s">
        <v>70</v>
      </c>
      <c r="B57" s="3" t="s">
        <v>9</v>
      </c>
      <c r="C57" s="3" t="s">
        <v>23</v>
      </c>
      <c r="D57" s="4">
        <v>45663.0</v>
      </c>
      <c r="E57" s="3">
        <v>16.0</v>
      </c>
      <c r="F57" s="5">
        <v>4.0</v>
      </c>
      <c r="G57" s="3">
        <v>1923.0</v>
      </c>
      <c r="H57" s="3" t="str">
        <f>VLOOKUP(B57,'Currency Table'!$M$3:$N$6,2, FALSE)</f>
        <v>PLN</v>
      </c>
      <c r="I57" s="3"/>
      <c r="J57" s="3"/>
      <c r="K57" s="3"/>
      <c r="L57" s="3"/>
      <c r="M57" s="3"/>
      <c r="N57" s="3"/>
      <c r="O57" s="7"/>
      <c r="P57" s="3"/>
      <c r="Q57" s="3"/>
      <c r="R57" s="3"/>
      <c r="S57" s="3"/>
      <c r="T57" s="3"/>
      <c r="U57" s="3"/>
      <c r="V57" s="3"/>
      <c r="W57" s="3"/>
    </row>
    <row r="58" ht="15.75" customHeight="1">
      <c r="A58" s="3" t="s">
        <v>71</v>
      </c>
      <c r="B58" s="3" t="s">
        <v>9</v>
      </c>
      <c r="C58" s="3" t="s">
        <v>16</v>
      </c>
      <c r="D58" s="4">
        <v>45663.0</v>
      </c>
      <c r="E58" s="3">
        <v>14.0</v>
      </c>
      <c r="F58" s="5">
        <v>0.0</v>
      </c>
      <c r="G58" s="3">
        <v>955.0</v>
      </c>
      <c r="H58" s="3" t="str">
        <f>VLOOKUP(B58,'Currency Table'!$M$3:$N$6,2, FALSE)</f>
        <v>PLN</v>
      </c>
      <c r="I58" s="3"/>
      <c r="J58" s="3"/>
      <c r="K58" s="3"/>
      <c r="L58" s="3"/>
      <c r="M58" s="3"/>
      <c r="N58" s="3"/>
      <c r="O58" s="7"/>
      <c r="P58" s="3"/>
      <c r="Q58" s="3"/>
      <c r="R58" s="3"/>
      <c r="S58" s="3"/>
      <c r="T58" s="3"/>
      <c r="U58" s="3"/>
      <c r="V58" s="3"/>
      <c r="W58" s="3"/>
    </row>
    <row r="59" ht="15.75" customHeight="1">
      <c r="A59" s="3" t="s">
        <v>72</v>
      </c>
      <c r="B59" s="3" t="s">
        <v>9</v>
      </c>
      <c r="C59" s="3" t="s">
        <v>10</v>
      </c>
      <c r="D59" s="4">
        <v>45663.0</v>
      </c>
      <c r="E59" s="3">
        <v>67.0</v>
      </c>
      <c r="F59" s="5">
        <v>4.0</v>
      </c>
      <c r="G59" s="3">
        <v>4231.0</v>
      </c>
      <c r="H59" s="3" t="str">
        <f>VLOOKUP(B59,'Currency Table'!$M$3:$N$6,2, FALSE)</f>
        <v>PLN</v>
      </c>
      <c r="I59" s="3"/>
      <c r="J59" s="3"/>
      <c r="K59" s="3"/>
      <c r="L59" s="3"/>
      <c r="M59" s="3"/>
      <c r="N59" s="3"/>
      <c r="O59" s="7"/>
      <c r="P59" s="3"/>
      <c r="Q59" s="3"/>
      <c r="R59" s="3"/>
      <c r="S59" s="3"/>
      <c r="T59" s="3"/>
      <c r="U59" s="3"/>
      <c r="V59" s="3"/>
      <c r="W59" s="3"/>
    </row>
    <row r="60" ht="15.75" customHeight="1">
      <c r="A60" s="3" t="s">
        <v>73</v>
      </c>
      <c r="B60" s="3" t="s">
        <v>9</v>
      </c>
      <c r="C60" s="3" t="s">
        <v>23</v>
      </c>
      <c r="D60" s="4">
        <v>45663.0</v>
      </c>
      <c r="E60" s="3">
        <v>30.0</v>
      </c>
      <c r="F60" s="5">
        <v>3.0</v>
      </c>
      <c r="G60" s="3">
        <v>1628.0</v>
      </c>
      <c r="H60" s="3" t="str">
        <f>VLOOKUP(B60,'Currency Table'!$M$3:$N$6,2, FALSE)</f>
        <v>PLN</v>
      </c>
      <c r="I60" s="3"/>
      <c r="J60" s="3"/>
      <c r="K60" s="3"/>
      <c r="L60" s="3"/>
      <c r="M60" s="3"/>
      <c r="N60" s="3"/>
      <c r="O60" s="7"/>
      <c r="P60" s="3"/>
      <c r="Q60" s="3"/>
      <c r="R60" s="3"/>
      <c r="S60" s="3"/>
      <c r="T60" s="3"/>
      <c r="U60" s="3"/>
      <c r="V60" s="3"/>
      <c r="W60" s="3"/>
    </row>
    <row r="61" ht="15.75" customHeight="1">
      <c r="A61" s="3" t="s">
        <v>74</v>
      </c>
      <c r="B61" s="3" t="s">
        <v>9</v>
      </c>
      <c r="C61" s="3" t="s">
        <v>16</v>
      </c>
      <c r="D61" s="4">
        <v>45663.0</v>
      </c>
      <c r="E61" s="3">
        <v>45.0</v>
      </c>
      <c r="F61" s="5">
        <v>5.0</v>
      </c>
      <c r="G61" s="3">
        <v>2136.0</v>
      </c>
      <c r="H61" s="3" t="str">
        <f>VLOOKUP(B61,'Currency Table'!$M$3:$N$6,2, FALSE)</f>
        <v>PLN</v>
      </c>
      <c r="I61" s="3"/>
      <c r="J61" s="3"/>
      <c r="K61" s="3"/>
      <c r="L61" s="3"/>
      <c r="M61" s="3"/>
      <c r="N61" s="3"/>
      <c r="O61" s="7"/>
      <c r="P61" s="3"/>
      <c r="Q61" s="3"/>
      <c r="R61" s="3"/>
      <c r="S61" s="3"/>
      <c r="T61" s="3"/>
      <c r="U61" s="3"/>
      <c r="V61" s="3"/>
      <c r="W61" s="3"/>
    </row>
    <row r="62" ht="15.75" customHeight="1">
      <c r="A62" s="3" t="s">
        <v>75</v>
      </c>
      <c r="B62" s="3" t="s">
        <v>9</v>
      </c>
      <c r="C62" s="3" t="s">
        <v>30</v>
      </c>
      <c r="D62" s="4">
        <v>45663.0</v>
      </c>
      <c r="E62" s="3">
        <v>27.0</v>
      </c>
      <c r="F62" s="5">
        <v>3.0</v>
      </c>
      <c r="G62" s="3">
        <v>1309.0</v>
      </c>
      <c r="H62" s="3" t="str">
        <f>VLOOKUP(B62,'Currency Table'!$M$3:$N$6,2, FALSE)</f>
        <v>PLN</v>
      </c>
      <c r="I62" s="3"/>
      <c r="J62" s="3"/>
      <c r="K62" s="3"/>
      <c r="L62" s="3"/>
      <c r="M62" s="3"/>
      <c r="N62" s="3"/>
      <c r="O62" s="7"/>
      <c r="P62" s="3"/>
      <c r="Q62" s="3"/>
      <c r="R62" s="3"/>
      <c r="S62" s="3"/>
      <c r="T62" s="3"/>
      <c r="U62" s="3"/>
      <c r="V62" s="3"/>
      <c r="W62" s="3"/>
    </row>
    <row r="63" ht="15.75" customHeight="1">
      <c r="A63" s="3" t="s">
        <v>76</v>
      </c>
      <c r="B63" s="3" t="s">
        <v>9</v>
      </c>
      <c r="C63" s="3" t="s">
        <v>14</v>
      </c>
      <c r="D63" s="4">
        <v>45663.0</v>
      </c>
      <c r="E63" s="3">
        <v>62.0</v>
      </c>
      <c r="F63" s="5">
        <v>0.0</v>
      </c>
      <c r="G63" s="3">
        <v>3969.0</v>
      </c>
      <c r="H63" s="3" t="str">
        <f>VLOOKUP(B63,'Currency Table'!$M$3:$N$6,2, FALSE)</f>
        <v>PLN</v>
      </c>
      <c r="I63" s="3"/>
      <c r="J63" s="3"/>
      <c r="K63" s="3"/>
      <c r="L63" s="3"/>
      <c r="M63" s="3"/>
      <c r="N63" s="3"/>
      <c r="O63" s="7"/>
      <c r="P63" s="3"/>
      <c r="Q63" s="3"/>
      <c r="R63" s="3"/>
      <c r="S63" s="3"/>
      <c r="T63" s="3"/>
      <c r="U63" s="3"/>
      <c r="V63" s="3"/>
      <c r="W63" s="3"/>
    </row>
    <row r="64" ht="15.75" customHeight="1">
      <c r="A64" s="3" t="s">
        <v>77</v>
      </c>
      <c r="B64" s="3" t="s">
        <v>9</v>
      </c>
      <c r="C64" s="3" t="s">
        <v>10</v>
      </c>
      <c r="D64" s="4">
        <v>45663.0</v>
      </c>
      <c r="E64" s="3">
        <v>37.0</v>
      </c>
      <c r="F64" s="5">
        <v>4.0</v>
      </c>
      <c r="G64" s="3">
        <v>2379.0</v>
      </c>
      <c r="H64" s="3" t="str">
        <f>VLOOKUP(B64,'Currency Table'!$M$3:$N$6,2, FALSE)</f>
        <v>PLN</v>
      </c>
      <c r="I64" s="3"/>
      <c r="J64" s="3"/>
      <c r="K64" s="3"/>
      <c r="L64" s="3"/>
      <c r="M64" s="3"/>
      <c r="N64" s="3"/>
      <c r="O64" s="7"/>
      <c r="P64" s="3"/>
      <c r="Q64" s="3"/>
      <c r="R64" s="3"/>
      <c r="S64" s="3"/>
      <c r="T64" s="3"/>
      <c r="U64" s="3"/>
      <c r="V64" s="3"/>
      <c r="W64" s="3"/>
    </row>
    <row r="65" ht="15.75" customHeight="1">
      <c r="A65" s="3" t="s">
        <v>78</v>
      </c>
      <c r="B65" s="3" t="s">
        <v>9</v>
      </c>
      <c r="C65" s="3" t="s">
        <v>30</v>
      </c>
      <c r="D65" s="4">
        <v>45663.0</v>
      </c>
      <c r="E65" s="3">
        <v>43.0</v>
      </c>
      <c r="F65" s="5">
        <v>2.0</v>
      </c>
      <c r="G65" s="3">
        <v>2816.0</v>
      </c>
      <c r="H65" s="3" t="str">
        <f>VLOOKUP(B65,'Currency Table'!$M$3:$N$6,2, FALSE)</f>
        <v>PLN</v>
      </c>
      <c r="I65" s="3"/>
      <c r="J65" s="3"/>
      <c r="K65" s="3"/>
      <c r="L65" s="3"/>
      <c r="M65" s="3"/>
      <c r="N65" s="3"/>
      <c r="O65" s="7"/>
      <c r="P65" s="3"/>
      <c r="Q65" s="3"/>
      <c r="R65" s="3"/>
      <c r="S65" s="3"/>
      <c r="T65" s="3"/>
      <c r="U65" s="3"/>
      <c r="V65" s="3"/>
      <c r="W65" s="3"/>
    </row>
    <row r="66" ht="15.75" customHeight="1">
      <c r="A66" s="3" t="s">
        <v>79</v>
      </c>
      <c r="B66" s="3" t="s">
        <v>9</v>
      </c>
      <c r="C66" s="3" t="s">
        <v>16</v>
      </c>
      <c r="D66" s="4">
        <v>45663.0</v>
      </c>
      <c r="E66" s="3">
        <v>60.0</v>
      </c>
      <c r="F66" s="5">
        <v>4.0</v>
      </c>
      <c r="G66" s="3">
        <v>3621.0</v>
      </c>
      <c r="H66" s="3" t="str">
        <f>VLOOKUP(B66,'Currency Table'!$M$3:$N$6,2, FALSE)</f>
        <v>PLN</v>
      </c>
      <c r="I66" s="3"/>
      <c r="J66" s="3"/>
      <c r="K66" s="3"/>
      <c r="L66" s="3"/>
      <c r="M66" s="3"/>
      <c r="N66" s="3"/>
      <c r="O66" s="7"/>
      <c r="P66" s="3"/>
      <c r="Q66" s="3"/>
      <c r="R66" s="3"/>
      <c r="S66" s="3"/>
      <c r="T66" s="3"/>
      <c r="U66" s="3"/>
      <c r="V66" s="3"/>
      <c r="W66" s="3"/>
    </row>
    <row r="67" ht="15.75" customHeight="1">
      <c r="A67" s="3" t="s">
        <v>80</v>
      </c>
      <c r="B67" s="3" t="s">
        <v>9</v>
      </c>
      <c r="C67" s="3" t="s">
        <v>30</v>
      </c>
      <c r="D67" s="4">
        <v>45663.0</v>
      </c>
      <c r="E67" s="3">
        <v>59.0</v>
      </c>
      <c r="F67" s="5">
        <v>2.0</v>
      </c>
      <c r="G67" s="3">
        <v>3729.0</v>
      </c>
      <c r="H67" s="3" t="str">
        <f>VLOOKUP(B67,'Currency Table'!$M$3:$N$6,2, FALSE)</f>
        <v>PLN</v>
      </c>
      <c r="I67" s="3"/>
      <c r="J67" s="3"/>
      <c r="K67" s="3"/>
      <c r="L67" s="3"/>
      <c r="M67" s="3"/>
      <c r="N67" s="3"/>
      <c r="O67" s="7"/>
      <c r="P67" s="3"/>
      <c r="Q67" s="3"/>
      <c r="R67" s="3"/>
      <c r="S67" s="3"/>
      <c r="T67" s="3"/>
      <c r="U67" s="3"/>
      <c r="V67" s="3"/>
      <c r="W67" s="3"/>
    </row>
    <row r="68" ht="15.75" customHeight="1">
      <c r="A68" s="3" t="s">
        <v>81</v>
      </c>
      <c r="B68" s="3" t="s">
        <v>9</v>
      </c>
      <c r="C68" s="3" t="s">
        <v>23</v>
      </c>
      <c r="D68" s="4">
        <v>45663.0</v>
      </c>
      <c r="E68" s="3">
        <v>28.0</v>
      </c>
      <c r="F68" s="5">
        <v>1.0</v>
      </c>
      <c r="G68" s="3">
        <v>1865.0</v>
      </c>
      <c r="H68" s="3" t="str">
        <f>VLOOKUP(B68,'Currency Table'!$M$3:$N$6,2, FALSE)</f>
        <v>PLN</v>
      </c>
      <c r="I68" s="3"/>
      <c r="J68" s="3"/>
      <c r="K68" s="3"/>
      <c r="L68" s="3"/>
      <c r="M68" s="3"/>
      <c r="N68" s="3"/>
      <c r="O68" s="7"/>
      <c r="P68" s="3"/>
      <c r="Q68" s="3"/>
      <c r="R68" s="3"/>
      <c r="S68" s="3"/>
      <c r="T68" s="3"/>
      <c r="U68" s="3"/>
      <c r="V68" s="3"/>
      <c r="W68" s="3"/>
    </row>
    <row r="69" ht="15.75" customHeight="1">
      <c r="A69" s="3" t="s">
        <v>82</v>
      </c>
      <c r="B69" s="3" t="s">
        <v>9</v>
      </c>
      <c r="C69" s="3" t="s">
        <v>14</v>
      </c>
      <c r="D69" s="4">
        <v>45663.0</v>
      </c>
      <c r="E69" s="3">
        <v>43.0</v>
      </c>
      <c r="F69" s="5">
        <v>5.0</v>
      </c>
      <c r="G69" s="3">
        <v>2853.0</v>
      </c>
      <c r="H69" s="3" t="str">
        <f>VLOOKUP(B69,'Currency Table'!$M$3:$N$6,2, FALSE)</f>
        <v>PLN</v>
      </c>
      <c r="I69" s="3"/>
      <c r="J69" s="3"/>
      <c r="K69" s="3"/>
      <c r="L69" s="3"/>
      <c r="M69" s="3"/>
      <c r="N69" s="3"/>
      <c r="O69" s="7"/>
      <c r="P69" s="3"/>
      <c r="Q69" s="3"/>
      <c r="R69" s="3"/>
      <c r="S69" s="3"/>
      <c r="T69" s="3"/>
      <c r="U69" s="3"/>
      <c r="V69" s="3"/>
      <c r="W69" s="3"/>
    </row>
    <row r="70" ht="15.75" customHeight="1">
      <c r="A70" s="3" t="s">
        <v>83</v>
      </c>
      <c r="B70" s="3" t="s">
        <v>9</v>
      </c>
      <c r="C70" s="3" t="s">
        <v>12</v>
      </c>
      <c r="D70" s="4">
        <v>45663.0</v>
      </c>
      <c r="E70" s="3">
        <v>30.0</v>
      </c>
      <c r="F70" s="5">
        <v>0.0</v>
      </c>
      <c r="G70" s="3">
        <v>1591.0</v>
      </c>
      <c r="H70" s="3" t="str">
        <f>VLOOKUP(B70,'Currency Table'!$M$3:$N$6,2, FALSE)</f>
        <v>PLN</v>
      </c>
      <c r="I70" s="3"/>
      <c r="J70" s="3"/>
      <c r="K70" s="3"/>
      <c r="L70" s="3"/>
      <c r="M70" s="3"/>
      <c r="N70" s="3"/>
      <c r="O70" s="7"/>
      <c r="P70" s="3"/>
      <c r="Q70" s="3"/>
      <c r="R70" s="3"/>
      <c r="S70" s="3"/>
      <c r="T70" s="3"/>
      <c r="U70" s="3"/>
      <c r="V70" s="3"/>
      <c r="W70" s="3"/>
    </row>
    <row r="71" ht="15.75" customHeight="1">
      <c r="A71" s="3" t="s">
        <v>84</v>
      </c>
      <c r="B71" s="3" t="s">
        <v>9</v>
      </c>
      <c r="C71" s="3" t="s">
        <v>16</v>
      </c>
      <c r="D71" s="4">
        <v>45663.0</v>
      </c>
      <c r="E71" s="3">
        <v>55.0</v>
      </c>
      <c r="F71" s="5">
        <v>3.0</v>
      </c>
      <c r="G71" s="3">
        <v>3390.0</v>
      </c>
      <c r="H71" s="3" t="str">
        <f>VLOOKUP(B71,'Currency Table'!$M$3:$N$6,2, FALSE)</f>
        <v>PLN</v>
      </c>
      <c r="I71" s="3"/>
      <c r="J71" s="3"/>
      <c r="K71" s="3"/>
      <c r="L71" s="3"/>
      <c r="M71" s="3"/>
      <c r="N71" s="3"/>
      <c r="O71" s="7"/>
      <c r="P71" s="3"/>
      <c r="Q71" s="3"/>
      <c r="R71" s="3"/>
      <c r="S71" s="3"/>
      <c r="T71" s="3"/>
      <c r="U71" s="3"/>
      <c r="V71" s="3"/>
      <c r="W71" s="3"/>
    </row>
    <row r="72" ht="15.75" customHeight="1">
      <c r="A72" s="3" t="s">
        <v>85</v>
      </c>
      <c r="B72" s="3" t="s">
        <v>9</v>
      </c>
      <c r="C72" s="3" t="s">
        <v>12</v>
      </c>
      <c r="D72" s="4">
        <v>45663.0</v>
      </c>
      <c r="E72" s="3">
        <v>67.0</v>
      </c>
      <c r="F72" s="5">
        <v>4.0</v>
      </c>
      <c r="G72" s="3">
        <v>4342.0</v>
      </c>
      <c r="H72" s="3" t="str">
        <f>VLOOKUP(B72,'Currency Table'!$M$3:$N$6,2, FALSE)</f>
        <v>PLN</v>
      </c>
      <c r="I72" s="3"/>
      <c r="J72" s="3"/>
      <c r="K72" s="3"/>
      <c r="L72" s="3"/>
      <c r="M72" s="3"/>
      <c r="N72" s="3"/>
      <c r="O72" s="7"/>
      <c r="P72" s="3"/>
      <c r="Q72" s="3"/>
      <c r="R72" s="3"/>
      <c r="S72" s="3"/>
      <c r="T72" s="3"/>
      <c r="U72" s="3"/>
      <c r="V72" s="3"/>
      <c r="W72" s="3"/>
    </row>
    <row r="73" ht="15.75" customHeight="1">
      <c r="A73" s="3" t="s">
        <v>86</v>
      </c>
      <c r="B73" s="3" t="s">
        <v>9</v>
      </c>
      <c r="C73" s="3" t="s">
        <v>14</v>
      </c>
      <c r="D73" s="4">
        <v>45663.0</v>
      </c>
      <c r="E73" s="3">
        <v>25.0</v>
      </c>
      <c r="F73" s="5">
        <v>4.0</v>
      </c>
      <c r="G73" s="3">
        <v>1301.0</v>
      </c>
      <c r="H73" s="3" t="str">
        <f>VLOOKUP(B73,'Currency Table'!$M$3:$N$6,2, FALSE)</f>
        <v>PLN</v>
      </c>
      <c r="I73" s="3"/>
      <c r="J73" s="3"/>
      <c r="K73" s="3"/>
      <c r="L73" s="3"/>
      <c r="M73" s="3"/>
      <c r="N73" s="3"/>
      <c r="O73" s="7"/>
      <c r="P73" s="3"/>
      <c r="Q73" s="3"/>
      <c r="R73" s="3"/>
      <c r="S73" s="3"/>
      <c r="T73" s="3"/>
      <c r="U73" s="3"/>
      <c r="V73" s="3"/>
      <c r="W73" s="3"/>
    </row>
    <row r="74" ht="15.75" customHeight="1">
      <c r="A74" s="3" t="s">
        <v>87</v>
      </c>
      <c r="B74" s="3" t="s">
        <v>9</v>
      </c>
      <c r="C74" s="3" t="s">
        <v>23</v>
      </c>
      <c r="D74" s="4">
        <v>45663.0</v>
      </c>
      <c r="E74" s="3">
        <v>24.0</v>
      </c>
      <c r="F74" s="5">
        <v>5.0</v>
      </c>
      <c r="G74" s="3">
        <v>1909.0</v>
      </c>
      <c r="H74" s="3" t="str">
        <f>VLOOKUP(B74,'Currency Table'!$M$3:$N$6,2, FALSE)</f>
        <v>PLN</v>
      </c>
      <c r="I74" s="3"/>
      <c r="J74" s="3"/>
      <c r="K74" s="3"/>
      <c r="L74" s="3"/>
      <c r="M74" s="3"/>
      <c r="N74" s="3"/>
      <c r="O74" s="7"/>
      <c r="P74" s="3"/>
      <c r="Q74" s="3"/>
      <c r="R74" s="3"/>
      <c r="S74" s="3"/>
      <c r="T74" s="3"/>
      <c r="U74" s="3"/>
      <c r="V74" s="3"/>
      <c r="W74" s="3"/>
    </row>
    <row r="75" ht="15.75" customHeight="1">
      <c r="A75" s="3" t="s">
        <v>88</v>
      </c>
      <c r="B75" s="3" t="s">
        <v>9</v>
      </c>
      <c r="C75" s="3" t="s">
        <v>23</v>
      </c>
      <c r="D75" s="4">
        <v>45663.0</v>
      </c>
      <c r="E75" s="3">
        <v>22.0</v>
      </c>
      <c r="F75" s="5">
        <v>0.0</v>
      </c>
      <c r="G75" s="3">
        <v>1771.0</v>
      </c>
      <c r="H75" s="3" t="str">
        <f>VLOOKUP(B75,'Currency Table'!$M$3:$N$6,2, FALSE)</f>
        <v>PLN</v>
      </c>
      <c r="I75" s="3"/>
      <c r="J75" s="3"/>
      <c r="K75" s="3"/>
      <c r="L75" s="3"/>
      <c r="M75" s="3"/>
      <c r="N75" s="3"/>
      <c r="O75" s="7"/>
      <c r="P75" s="3"/>
      <c r="Q75" s="3"/>
      <c r="R75" s="3"/>
      <c r="S75" s="3"/>
      <c r="T75" s="3"/>
      <c r="U75" s="3"/>
      <c r="V75" s="3"/>
      <c r="W75" s="3"/>
    </row>
    <row r="76" ht="15.75" customHeight="1">
      <c r="A76" s="3" t="s">
        <v>89</v>
      </c>
      <c r="B76" s="3" t="s">
        <v>9</v>
      </c>
      <c r="C76" s="3" t="s">
        <v>12</v>
      </c>
      <c r="D76" s="4">
        <v>45663.0</v>
      </c>
      <c r="E76" s="3">
        <v>43.0</v>
      </c>
      <c r="F76" s="5">
        <v>3.0</v>
      </c>
      <c r="G76" s="3">
        <v>2492.0</v>
      </c>
      <c r="H76" s="3" t="str">
        <f>VLOOKUP(B76,'Currency Table'!$M$3:$N$6,2, FALSE)</f>
        <v>PLN</v>
      </c>
      <c r="I76" s="3"/>
      <c r="J76" s="3"/>
      <c r="K76" s="3"/>
      <c r="L76" s="3"/>
      <c r="M76" s="3"/>
      <c r="N76" s="3"/>
      <c r="O76" s="7"/>
      <c r="P76" s="3"/>
      <c r="Q76" s="3"/>
      <c r="R76" s="3"/>
      <c r="S76" s="3"/>
      <c r="T76" s="3"/>
      <c r="U76" s="3"/>
      <c r="V76" s="3"/>
      <c r="W76" s="3"/>
    </row>
    <row r="77" ht="15.75" customHeight="1">
      <c r="A77" s="3" t="s">
        <v>90</v>
      </c>
      <c r="B77" s="3" t="s">
        <v>9</v>
      </c>
      <c r="C77" s="3" t="s">
        <v>12</v>
      </c>
      <c r="D77" s="4">
        <v>45663.0</v>
      </c>
      <c r="E77" s="3">
        <v>23.0</v>
      </c>
      <c r="F77" s="5">
        <v>0.0</v>
      </c>
      <c r="G77" s="3">
        <v>1890.0</v>
      </c>
      <c r="H77" s="3" t="str">
        <f>VLOOKUP(B77,'Currency Table'!$M$3:$N$6,2, FALSE)</f>
        <v>PLN</v>
      </c>
      <c r="I77" s="3"/>
      <c r="J77" s="3"/>
      <c r="K77" s="3"/>
      <c r="L77" s="3"/>
      <c r="M77" s="3"/>
      <c r="N77" s="3"/>
      <c r="O77" s="7"/>
      <c r="P77" s="3"/>
      <c r="Q77" s="3"/>
      <c r="R77" s="3"/>
      <c r="S77" s="3"/>
      <c r="T77" s="3"/>
      <c r="U77" s="3"/>
      <c r="V77" s="3"/>
      <c r="W77" s="3"/>
    </row>
    <row r="78" ht="15.75" customHeight="1">
      <c r="A78" s="3" t="s">
        <v>91</v>
      </c>
      <c r="B78" s="3" t="s">
        <v>9</v>
      </c>
      <c r="C78" s="3" t="s">
        <v>16</v>
      </c>
      <c r="D78" s="4">
        <v>45663.0</v>
      </c>
      <c r="E78" s="3">
        <v>54.0</v>
      </c>
      <c r="F78" s="5">
        <v>1.0</v>
      </c>
      <c r="G78" s="3">
        <v>3692.0</v>
      </c>
      <c r="H78" s="3" t="str">
        <f>VLOOKUP(B78,'Currency Table'!$M$3:$N$6,2, FALSE)</f>
        <v>PLN</v>
      </c>
      <c r="I78" s="3"/>
      <c r="J78" s="3"/>
      <c r="K78" s="3"/>
      <c r="L78" s="3"/>
      <c r="M78" s="3"/>
      <c r="N78" s="3"/>
      <c r="O78" s="7"/>
      <c r="P78" s="3"/>
      <c r="Q78" s="3"/>
      <c r="R78" s="3"/>
      <c r="S78" s="3"/>
      <c r="T78" s="3"/>
      <c r="U78" s="3"/>
      <c r="V78" s="3"/>
      <c r="W78" s="3"/>
    </row>
    <row r="79" ht="15.75" customHeight="1">
      <c r="A79" s="3" t="s">
        <v>92</v>
      </c>
      <c r="B79" s="3" t="s">
        <v>9</v>
      </c>
      <c r="C79" s="3" t="s">
        <v>12</v>
      </c>
      <c r="D79" s="4">
        <v>45663.0</v>
      </c>
      <c r="E79" s="3">
        <v>55.0</v>
      </c>
      <c r="F79" s="5">
        <v>3.0</v>
      </c>
      <c r="G79" s="3">
        <v>3035.0</v>
      </c>
      <c r="H79" s="3" t="str">
        <f>VLOOKUP(B79,'Currency Table'!$M$3:$N$6,2, FALSE)</f>
        <v>PLN</v>
      </c>
      <c r="I79" s="3"/>
      <c r="J79" s="3"/>
      <c r="K79" s="3"/>
      <c r="L79" s="3"/>
      <c r="M79" s="3"/>
      <c r="N79" s="3"/>
      <c r="O79" s="7"/>
      <c r="P79" s="3"/>
      <c r="Q79" s="3"/>
      <c r="R79" s="3"/>
      <c r="S79" s="3"/>
      <c r="T79" s="3"/>
      <c r="U79" s="3"/>
      <c r="V79" s="3"/>
      <c r="W79" s="3"/>
    </row>
    <row r="80" ht="15.75" customHeight="1">
      <c r="A80" s="3" t="s">
        <v>93</v>
      </c>
      <c r="B80" s="3" t="s">
        <v>9</v>
      </c>
      <c r="C80" s="3" t="s">
        <v>10</v>
      </c>
      <c r="D80" s="4">
        <v>45663.0</v>
      </c>
      <c r="E80" s="3">
        <v>56.0</v>
      </c>
      <c r="F80" s="5">
        <v>1.0</v>
      </c>
      <c r="G80" s="3">
        <v>3843.0</v>
      </c>
      <c r="H80" s="3" t="str">
        <f>VLOOKUP(B80,'Currency Table'!$M$3:$N$6,2, FALSE)</f>
        <v>PLN</v>
      </c>
      <c r="I80" s="3"/>
      <c r="J80" s="3"/>
      <c r="K80" s="3"/>
      <c r="L80" s="3"/>
      <c r="M80" s="3"/>
      <c r="N80" s="3"/>
      <c r="O80" s="7"/>
      <c r="P80" s="3"/>
      <c r="Q80" s="3"/>
      <c r="R80" s="3"/>
      <c r="S80" s="3"/>
      <c r="T80" s="3"/>
      <c r="U80" s="3"/>
      <c r="V80" s="3"/>
      <c r="W80" s="3"/>
    </row>
    <row r="81" ht="15.75" customHeight="1">
      <c r="A81" s="3" t="s">
        <v>94</v>
      </c>
      <c r="B81" s="3" t="s">
        <v>9</v>
      </c>
      <c r="C81" s="3" t="s">
        <v>16</v>
      </c>
      <c r="D81" s="4">
        <v>45663.0</v>
      </c>
      <c r="E81" s="3">
        <v>61.0</v>
      </c>
      <c r="F81" s="5">
        <v>1.0</v>
      </c>
      <c r="G81" s="3">
        <v>4418.0</v>
      </c>
      <c r="H81" s="3" t="str">
        <f>VLOOKUP(B81,'Currency Table'!$M$3:$N$6,2, FALSE)</f>
        <v>PLN</v>
      </c>
      <c r="I81" s="3"/>
      <c r="J81" s="3"/>
      <c r="K81" s="3"/>
      <c r="L81" s="3"/>
      <c r="M81" s="3"/>
      <c r="N81" s="3"/>
      <c r="O81" s="7"/>
      <c r="P81" s="3"/>
      <c r="Q81" s="3"/>
      <c r="R81" s="3"/>
      <c r="S81" s="3"/>
      <c r="T81" s="3"/>
      <c r="U81" s="3"/>
      <c r="V81" s="3"/>
      <c r="W81" s="3"/>
    </row>
    <row r="82" ht="15.75" customHeight="1">
      <c r="A82" s="3" t="s">
        <v>95</v>
      </c>
      <c r="B82" s="3" t="s">
        <v>9</v>
      </c>
      <c r="C82" s="3" t="s">
        <v>12</v>
      </c>
      <c r="D82" s="4">
        <v>45663.0</v>
      </c>
      <c r="E82" s="3">
        <v>31.0</v>
      </c>
      <c r="F82" s="5">
        <v>1.0</v>
      </c>
      <c r="G82" s="3">
        <v>2115.0</v>
      </c>
      <c r="H82" s="3" t="str">
        <f>VLOOKUP(B82,'Currency Table'!$M$3:$N$6,2, FALSE)</f>
        <v>PLN</v>
      </c>
      <c r="I82" s="3"/>
      <c r="J82" s="3"/>
      <c r="K82" s="3"/>
      <c r="L82" s="3"/>
      <c r="M82" s="3"/>
      <c r="N82" s="3"/>
      <c r="O82" s="7"/>
      <c r="P82" s="3"/>
      <c r="Q82" s="3"/>
      <c r="R82" s="3"/>
      <c r="S82" s="3"/>
      <c r="T82" s="3"/>
      <c r="U82" s="3"/>
      <c r="V82" s="3"/>
      <c r="W82" s="3"/>
    </row>
    <row r="83" ht="15.75" customHeight="1">
      <c r="A83" s="3" t="s">
        <v>96</v>
      </c>
      <c r="B83" s="3" t="s">
        <v>9</v>
      </c>
      <c r="C83" s="3" t="s">
        <v>12</v>
      </c>
      <c r="D83" s="4">
        <v>45663.0</v>
      </c>
      <c r="E83" s="3">
        <v>11.0</v>
      </c>
      <c r="F83" s="5">
        <v>5.0</v>
      </c>
      <c r="G83" s="3">
        <v>1204.0</v>
      </c>
      <c r="H83" s="3" t="str">
        <f>VLOOKUP(B83,'Currency Table'!$M$3:$N$6,2, FALSE)</f>
        <v>PLN</v>
      </c>
      <c r="I83" s="3"/>
      <c r="J83" s="3"/>
      <c r="K83" s="3"/>
      <c r="L83" s="3"/>
      <c r="M83" s="3"/>
      <c r="N83" s="3"/>
      <c r="O83" s="7"/>
      <c r="P83" s="3"/>
      <c r="Q83" s="3"/>
      <c r="R83" s="3"/>
      <c r="S83" s="3"/>
      <c r="T83" s="3"/>
      <c r="U83" s="3"/>
      <c r="V83" s="3"/>
      <c r="W83" s="3"/>
    </row>
    <row r="84" ht="15.75" customHeight="1">
      <c r="A84" s="3" t="s">
        <v>97</v>
      </c>
      <c r="B84" s="3" t="s">
        <v>9</v>
      </c>
      <c r="C84" s="3" t="s">
        <v>30</v>
      </c>
      <c r="D84" s="4">
        <v>45663.0</v>
      </c>
      <c r="E84" s="3">
        <v>67.0</v>
      </c>
      <c r="F84" s="5">
        <v>4.0</v>
      </c>
      <c r="G84" s="3">
        <v>4085.0</v>
      </c>
      <c r="H84" s="3" t="str">
        <f>VLOOKUP(B84,'Currency Table'!$M$3:$N$6,2, FALSE)</f>
        <v>PLN</v>
      </c>
      <c r="I84" s="3"/>
      <c r="J84" s="3"/>
      <c r="K84" s="3"/>
      <c r="L84" s="3"/>
      <c r="M84" s="3"/>
      <c r="N84" s="3"/>
      <c r="O84" s="7"/>
      <c r="P84" s="3"/>
      <c r="Q84" s="3"/>
      <c r="R84" s="3"/>
      <c r="S84" s="3"/>
      <c r="T84" s="3"/>
      <c r="U84" s="3"/>
      <c r="V84" s="3"/>
      <c r="W84" s="3"/>
    </row>
    <row r="85" ht="15.75" customHeight="1">
      <c r="A85" s="3" t="s">
        <v>98</v>
      </c>
      <c r="B85" s="3" t="s">
        <v>9</v>
      </c>
      <c r="C85" s="3" t="s">
        <v>30</v>
      </c>
      <c r="D85" s="4">
        <v>45663.0</v>
      </c>
      <c r="E85" s="3">
        <v>56.0</v>
      </c>
      <c r="F85" s="5">
        <v>4.0</v>
      </c>
      <c r="G85" s="3">
        <v>3249.0</v>
      </c>
      <c r="H85" s="3" t="str">
        <f>VLOOKUP(B85,'Currency Table'!$M$3:$N$6,2, FALSE)</f>
        <v>PLN</v>
      </c>
      <c r="I85" s="3"/>
      <c r="J85" s="3"/>
      <c r="K85" s="3"/>
      <c r="L85" s="3"/>
      <c r="M85" s="3"/>
      <c r="N85" s="3"/>
      <c r="O85" s="7"/>
      <c r="P85" s="3"/>
      <c r="Q85" s="3"/>
      <c r="R85" s="3"/>
      <c r="S85" s="3"/>
      <c r="T85" s="3"/>
      <c r="U85" s="3"/>
      <c r="V85" s="3"/>
      <c r="W85" s="3"/>
    </row>
    <row r="86" ht="15.75" customHeight="1">
      <c r="A86" s="3" t="s">
        <v>99</v>
      </c>
      <c r="B86" s="3" t="s">
        <v>9</v>
      </c>
      <c r="C86" s="3" t="s">
        <v>14</v>
      </c>
      <c r="D86" s="4">
        <v>45663.0</v>
      </c>
      <c r="E86" s="3">
        <v>33.0</v>
      </c>
      <c r="F86" s="5">
        <v>1.0</v>
      </c>
      <c r="G86" s="3">
        <v>2539.0</v>
      </c>
      <c r="H86" s="3" t="str">
        <f>VLOOKUP(B86,'Currency Table'!$M$3:$N$6,2, FALSE)</f>
        <v>PLN</v>
      </c>
      <c r="I86" s="3"/>
      <c r="J86" s="3"/>
      <c r="K86" s="3"/>
      <c r="L86" s="3"/>
      <c r="M86" s="3"/>
      <c r="N86" s="3"/>
      <c r="O86" s="7"/>
      <c r="P86" s="3"/>
      <c r="Q86" s="3"/>
      <c r="R86" s="3"/>
      <c r="S86" s="3"/>
      <c r="T86" s="3"/>
      <c r="U86" s="3"/>
      <c r="V86" s="3"/>
      <c r="W86" s="3"/>
    </row>
    <row r="87" ht="15.75" customHeight="1">
      <c r="A87" s="3" t="s">
        <v>100</v>
      </c>
      <c r="B87" s="3" t="s">
        <v>9</v>
      </c>
      <c r="C87" s="3" t="s">
        <v>16</v>
      </c>
      <c r="D87" s="4">
        <v>45663.0</v>
      </c>
      <c r="E87" s="3">
        <v>61.0</v>
      </c>
      <c r="F87" s="5">
        <v>2.0</v>
      </c>
      <c r="G87" s="3">
        <v>4324.0</v>
      </c>
      <c r="H87" s="3" t="str">
        <f>VLOOKUP(B87,'Currency Table'!$M$3:$N$6,2, FALSE)</f>
        <v>PLN</v>
      </c>
      <c r="I87" s="3"/>
      <c r="J87" s="3"/>
      <c r="K87" s="3"/>
      <c r="L87" s="3"/>
      <c r="M87" s="3"/>
      <c r="N87" s="3"/>
      <c r="O87" s="7"/>
      <c r="P87" s="3"/>
      <c r="Q87" s="3"/>
      <c r="R87" s="3"/>
      <c r="S87" s="3"/>
      <c r="T87" s="3"/>
      <c r="U87" s="3"/>
      <c r="V87" s="3"/>
      <c r="W87" s="3"/>
    </row>
    <row r="88" ht="15.75" customHeight="1">
      <c r="A88" s="3" t="s">
        <v>101</v>
      </c>
      <c r="B88" s="3" t="s">
        <v>9</v>
      </c>
      <c r="C88" s="3" t="s">
        <v>30</v>
      </c>
      <c r="D88" s="4">
        <v>45663.0</v>
      </c>
      <c r="E88" s="3">
        <v>32.0</v>
      </c>
      <c r="F88" s="5">
        <v>4.0</v>
      </c>
      <c r="G88" s="3">
        <v>2381.0</v>
      </c>
      <c r="H88" s="3" t="str">
        <f>VLOOKUP(B88,'Currency Table'!$M$3:$N$6,2, FALSE)</f>
        <v>PLN</v>
      </c>
      <c r="I88" s="3"/>
      <c r="J88" s="3"/>
      <c r="K88" s="3"/>
      <c r="L88" s="3"/>
      <c r="M88" s="3"/>
      <c r="N88" s="3"/>
      <c r="O88" s="7"/>
      <c r="P88" s="3"/>
      <c r="Q88" s="3"/>
      <c r="R88" s="3"/>
      <c r="S88" s="3"/>
      <c r="T88" s="3"/>
      <c r="U88" s="3"/>
      <c r="V88" s="3"/>
      <c r="W88" s="3"/>
    </row>
    <row r="89" ht="15.75" customHeight="1">
      <c r="A89" s="3" t="s">
        <v>102</v>
      </c>
      <c r="B89" s="3" t="s">
        <v>9</v>
      </c>
      <c r="C89" s="3" t="s">
        <v>30</v>
      </c>
      <c r="D89" s="4">
        <v>45663.0</v>
      </c>
      <c r="E89" s="3">
        <v>68.0</v>
      </c>
      <c r="F89" s="5">
        <v>4.0</v>
      </c>
      <c r="G89" s="3">
        <v>3953.0</v>
      </c>
      <c r="H89" s="3" t="str">
        <f>VLOOKUP(B89,'Currency Table'!$M$3:$N$6,2, FALSE)</f>
        <v>PLN</v>
      </c>
      <c r="I89" s="3"/>
      <c r="J89" s="3"/>
      <c r="K89" s="3"/>
      <c r="L89" s="3"/>
      <c r="M89" s="3"/>
      <c r="N89" s="3"/>
      <c r="O89" s="7"/>
      <c r="P89" s="3"/>
      <c r="Q89" s="3"/>
      <c r="R89" s="3"/>
      <c r="S89" s="3"/>
      <c r="T89" s="3"/>
      <c r="U89" s="3"/>
      <c r="V89" s="3"/>
      <c r="W89" s="3"/>
    </row>
    <row r="90" ht="15.75" customHeight="1">
      <c r="A90" s="3" t="s">
        <v>103</v>
      </c>
      <c r="B90" s="3" t="s">
        <v>9</v>
      </c>
      <c r="C90" s="3" t="s">
        <v>23</v>
      </c>
      <c r="D90" s="4">
        <v>45663.0</v>
      </c>
      <c r="E90" s="3">
        <v>57.0</v>
      </c>
      <c r="F90" s="5">
        <v>0.0</v>
      </c>
      <c r="G90" s="3">
        <v>3723.0</v>
      </c>
      <c r="H90" s="3" t="str">
        <f>VLOOKUP(B90,'Currency Table'!$M$3:$N$6,2, FALSE)</f>
        <v>PLN</v>
      </c>
      <c r="I90" s="3"/>
      <c r="J90" s="3"/>
      <c r="K90" s="3"/>
      <c r="L90" s="3"/>
      <c r="M90" s="3"/>
      <c r="N90" s="3"/>
      <c r="O90" s="7"/>
      <c r="P90" s="3"/>
      <c r="Q90" s="3"/>
      <c r="R90" s="3"/>
      <c r="S90" s="3"/>
      <c r="T90" s="3"/>
      <c r="U90" s="3"/>
      <c r="V90" s="3"/>
      <c r="W90" s="3"/>
    </row>
    <row r="91" ht="15.75" customHeight="1">
      <c r="A91" s="3" t="s">
        <v>104</v>
      </c>
      <c r="B91" s="3" t="s">
        <v>9</v>
      </c>
      <c r="C91" s="3" t="s">
        <v>14</v>
      </c>
      <c r="D91" s="4">
        <v>45663.0</v>
      </c>
      <c r="E91" s="3">
        <v>26.0</v>
      </c>
      <c r="F91" s="5">
        <v>5.0</v>
      </c>
      <c r="G91" s="3">
        <v>1191.0</v>
      </c>
      <c r="H91" s="3" t="str">
        <f>VLOOKUP(B91,'Currency Table'!$M$3:$N$6,2, FALSE)</f>
        <v>PLN</v>
      </c>
      <c r="I91" s="3"/>
      <c r="J91" s="3"/>
      <c r="K91" s="3"/>
      <c r="L91" s="3"/>
      <c r="M91" s="3"/>
      <c r="N91" s="3"/>
      <c r="O91" s="7"/>
      <c r="P91" s="3"/>
      <c r="Q91" s="3"/>
      <c r="R91" s="3"/>
      <c r="S91" s="3"/>
      <c r="T91" s="3"/>
      <c r="U91" s="3"/>
      <c r="V91" s="3"/>
      <c r="W91" s="3"/>
    </row>
    <row r="92" ht="15.75" customHeight="1">
      <c r="A92" s="3" t="s">
        <v>105</v>
      </c>
      <c r="B92" s="3" t="s">
        <v>9</v>
      </c>
      <c r="C92" s="3" t="s">
        <v>14</v>
      </c>
      <c r="D92" s="4">
        <v>45663.0</v>
      </c>
      <c r="E92" s="3">
        <v>10.0</v>
      </c>
      <c r="F92" s="5">
        <v>1.0</v>
      </c>
      <c r="G92" s="3">
        <v>964.0</v>
      </c>
      <c r="H92" s="3" t="str">
        <f>VLOOKUP(B92,'Currency Table'!$M$3:$N$6,2, FALSE)</f>
        <v>PLN</v>
      </c>
      <c r="I92" s="3"/>
      <c r="J92" s="3"/>
      <c r="K92" s="3"/>
      <c r="L92" s="3"/>
      <c r="M92" s="3"/>
      <c r="N92" s="3"/>
      <c r="O92" s="7"/>
      <c r="P92" s="3"/>
      <c r="Q92" s="3"/>
      <c r="R92" s="3"/>
      <c r="S92" s="3"/>
      <c r="T92" s="3"/>
      <c r="U92" s="3"/>
      <c r="V92" s="3"/>
      <c r="W92" s="3"/>
    </row>
    <row r="93" ht="15.75" customHeight="1">
      <c r="A93" s="3" t="s">
        <v>106</v>
      </c>
      <c r="B93" s="3" t="s">
        <v>9</v>
      </c>
      <c r="C93" s="3" t="s">
        <v>30</v>
      </c>
      <c r="D93" s="4">
        <v>45663.0</v>
      </c>
      <c r="E93" s="3">
        <v>32.0</v>
      </c>
      <c r="F93" s="5">
        <v>5.0</v>
      </c>
      <c r="G93" s="3">
        <v>2968.0</v>
      </c>
      <c r="H93" s="3" t="str">
        <f>VLOOKUP(B93,'Currency Table'!$M$3:$N$6,2, FALSE)</f>
        <v>PLN</v>
      </c>
      <c r="I93" s="3"/>
      <c r="J93" s="3"/>
      <c r="K93" s="3"/>
      <c r="L93" s="3"/>
      <c r="M93" s="3"/>
      <c r="N93" s="3"/>
      <c r="O93" s="7"/>
      <c r="P93" s="3"/>
      <c r="Q93" s="3"/>
      <c r="R93" s="3"/>
      <c r="S93" s="3"/>
      <c r="T93" s="3"/>
      <c r="U93" s="3"/>
      <c r="V93" s="3"/>
      <c r="W93" s="3"/>
    </row>
    <row r="94" ht="15.75" customHeight="1">
      <c r="A94" s="3" t="s">
        <v>107</v>
      </c>
      <c r="B94" s="3" t="s">
        <v>9</v>
      </c>
      <c r="C94" s="3" t="s">
        <v>30</v>
      </c>
      <c r="D94" s="4">
        <v>45663.0</v>
      </c>
      <c r="E94" s="3">
        <v>37.0</v>
      </c>
      <c r="F94" s="5">
        <v>1.0</v>
      </c>
      <c r="G94" s="3">
        <v>2360.0</v>
      </c>
      <c r="H94" s="3" t="str">
        <f>VLOOKUP(B94,'Currency Table'!$M$3:$N$6,2, FALSE)</f>
        <v>PLN</v>
      </c>
      <c r="I94" s="3"/>
      <c r="J94" s="3"/>
      <c r="K94" s="3"/>
      <c r="L94" s="3"/>
      <c r="M94" s="3"/>
      <c r="N94" s="3"/>
      <c r="O94" s="7"/>
      <c r="P94" s="3"/>
      <c r="Q94" s="3"/>
      <c r="R94" s="3"/>
      <c r="S94" s="3"/>
      <c r="T94" s="3"/>
      <c r="U94" s="3"/>
      <c r="V94" s="3"/>
      <c r="W94" s="3"/>
    </row>
    <row r="95" ht="15.75" customHeight="1">
      <c r="A95" s="3" t="s">
        <v>108</v>
      </c>
      <c r="B95" s="3" t="s">
        <v>9</v>
      </c>
      <c r="C95" s="3" t="s">
        <v>30</v>
      </c>
      <c r="D95" s="4">
        <v>45663.0</v>
      </c>
      <c r="E95" s="3">
        <v>29.0</v>
      </c>
      <c r="F95" s="5">
        <v>1.0</v>
      </c>
      <c r="G95" s="3">
        <v>1185.0</v>
      </c>
      <c r="H95" s="3" t="str">
        <f>VLOOKUP(B95,'Currency Table'!$M$3:$N$6,2, FALSE)</f>
        <v>PLN</v>
      </c>
      <c r="I95" s="3"/>
      <c r="J95" s="3"/>
      <c r="K95" s="3"/>
      <c r="L95" s="3"/>
      <c r="M95" s="3"/>
      <c r="N95" s="3"/>
      <c r="O95" s="7"/>
      <c r="P95" s="3"/>
      <c r="Q95" s="3"/>
      <c r="R95" s="3"/>
      <c r="S95" s="3"/>
      <c r="T95" s="3"/>
      <c r="U95" s="3"/>
      <c r="V95" s="3"/>
      <c r="W95" s="3"/>
    </row>
    <row r="96" ht="15.75" customHeight="1">
      <c r="A96" s="3" t="s">
        <v>109</v>
      </c>
      <c r="B96" s="3" t="s">
        <v>9</v>
      </c>
      <c r="C96" s="3" t="s">
        <v>16</v>
      </c>
      <c r="D96" s="4">
        <v>45663.0</v>
      </c>
      <c r="E96" s="3">
        <v>17.0</v>
      </c>
      <c r="F96" s="5">
        <v>2.0</v>
      </c>
      <c r="G96" s="3">
        <v>1847.0</v>
      </c>
      <c r="H96" s="3" t="str">
        <f>VLOOKUP(B96,'Currency Table'!$M$3:$N$6,2, FALSE)</f>
        <v>PLN</v>
      </c>
      <c r="I96" s="3"/>
      <c r="J96" s="3"/>
      <c r="K96" s="3"/>
      <c r="L96" s="3"/>
      <c r="M96" s="3"/>
      <c r="N96" s="3"/>
      <c r="O96" s="7"/>
      <c r="P96" s="3"/>
      <c r="Q96" s="3"/>
      <c r="R96" s="3"/>
      <c r="S96" s="3"/>
      <c r="T96" s="3"/>
      <c r="U96" s="3"/>
      <c r="V96" s="3"/>
      <c r="W96" s="3"/>
    </row>
    <row r="97" ht="15.75" customHeight="1">
      <c r="A97" s="3" t="s">
        <v>110</v>
      </c>
      <c r="B97" s="3" t="s">
        <v>9</v>
      </c>
      <c r="C97" s="3" t="s">
        <v>23</v>
      </c>
      <c r="D97" s="4">
        <v>45663.0</v>
      </c>
      <c r="E97" s="3">
        <v>69.0</v>
      </c>
      <c r="F97" s="5">
        <v>0.0</v>
      </c>
      <c r="G97" s="3">
        <v>4499.0</v>
      </c>
      <c r="H97" s="3" t="str">
        <f>VLOOKUP(B97,'Currency Table'!$M$3:$N$6,2, FALSE)</f>
        <v>PLN</v>
      </c>
      <c r="I97" s="3"/>
      <c r="J97" s="3"/>
      <c r="K97" s="3"/>
      <c r="L97" s="3"/>
      <c r="M97" s="3"/>
      <c r="N97" s="3"/>
      <c r="O97" s="7"/>
      <c r="P97" s="3"/>
      <c r="Q97" s="3"/>
      <c r="R97" s="3"/>
      <c r="S97" s="3"/>
      <c r="T97" s="3"/>
      <c r="U97" s="3"/>
      <c r="V97" s="3"/>
      <c r="W97" s="3"/>
    </row>
    <row r="98" ht="15.75" customHeight="1">
      <c r="A98" s="3" t="s">
        <v>111</v>
      </c>
      <c r="B98" s="3" t="s">
        <v>9</v>
      </c>
      <c r="C98" s="3" t="s">
        <v>10</v>
      </c>
      <c r="D98" s="4">
        <v>45663.0</v>
      </c>
      <c r="E98" s="3">
        <v>59.0</v>
      </c>
      <c r="F98" s="5">
        <v>2.0</v>
      </c>
      <c r="G98" s="3">
        <v>3161.0</v>
      </c>
      <c r="H98" s="3" t="str">
        <f>VLOOKUP(B98,'Currency Table'!$M$3:$N$6,2, FALSE)</f>
        <v>PLN</v>
      </c>
      <c r="I98" s="3"/>
      <c r="J98" s="3"/>
      <c r="K98" s="3"/>
      <c r="L98" s="3"/>
      <c r="M98" s="3"/>
      <c r="N98" s="3"/>
      <c r="O98" s="7"/>
      <c r="P98" s="3"/>
      <c r="Q98" s="3"/>
      <c r="R98" s="3"/>
      <c r="S98" s="3"/>
      <c r="T98" s="3"/>
      <c r="U98" s="3"/>
      <c r="V98" s="3"/>
      <c r="W98" s="3"/>
    </row>
    <row r="99" ht="15.75" customHeight="1">
      <c r="A99" s="3" t="s">
        <v>112</v>
      </c>
      <c r="B99" s="3" t="s">
        <v>9</v>
      </c>
      <c r="C99" s="3" t="s">
        <v>14</v>
      </c>
      <c r="D99" s="4">
        <v>45663.0</v>
      </c>
      <c r="E99" s="3">
        <v>31.0</v>
      </c>
      <c r="F99" s="5">
        <v>1.0</v>
      </c>
      <c r="G99" s="3">
        <v>2699.0</v>
      </c>
      <c r="H99" s="3" t="str">
        <f>VLOOKUP(B99,'Currency Table'!$M$3:$N$6,2, FALSE)</f>
        <v>PLN</v>
      </c>
      <c r="I99" s="3"/>
      <c r="J99" s="3"/>
      <c r="K99" s="3"/>
      <c r="L99" s="3"/>
      <c r="M99" s="3"/>
      <c r="N99" s="3"/>
      <c r="O99" s="7"/>
      <c r="P99" s="3"/>
      <c r="Q99" s="3"/>
      <c r="R99" s="3"/>
      <c r="S99" s="3"/>
      <c r="T99" s="3"/>
      <c r="U99" s="3"/>
      <c r="V99" s="3"/>
      <c r="W99" s="3"/>
    </row>
    <row r="100" ht="15.75" customHeight="1">
      <c r="A100" s="3" t="s">
        <v>113</v>
      </c>
      <c r="B100" s="3" t="s">
        <v>9</v>
      </c>
      <c r="C100" s="3" t="s">
        <v>10</v>
      </c>
      <c r="D100" s="4">
        <v>45663.0</v>
      </c>
      <c r="E100" s="3">
        <v>10.0</v>
      </c>
      <c r="F100" s="5">
        <v>4.0</v>
      </c>
      <c r="G100" s="3">
        <v>794.0</v>
      </c>
      <c r="H100" s="3" t="str">
        <f>VLOOKUP(B100,'Currency Table'!$M$3:$N$6,2, FALSE)</f>
        <v>PLN</v>
      </c>
      <c r="I100" s="3"/>
      <c r="J100" s="3"/>
      <c r="K100" s="3"/>
      <c r="L100" s="3"/>
      <c r="M100" s="3"/>
      <c r="N100" s="3"/>
      <c r="O100" s="7"/>
      <c r="P100" s="3"/>
      <c r="Q100" s="3"/>
      <c r="R100" s="3"/>
      <c r="S100" s="3"/>
      <c r="T100" s="3"/>
      <c r="U100" s="3"/>
      <c r="V100" s="3"/>
      <c r="W100" s="3"/>
    </row>
    <row r="101" ht="15.75" customHeight="1">
      <c r="A101" s="3" t="s">
        <v>114</v>
      </c>
      <c r="B101" s="3" t="s">
        <v>9</v>
      </c>
      <c r="C101" s="3" t="s">
        <v>14</v>
      </c>
      <c r="D101" s="4">
        <v>45663.0</v>
      </c>
      <c r="E101" s="3">
        <v>60.0</v>
      </c>
      <c r="F101" s="5">
        <v>3.0</v>
      </c>
      <c r="G101" s="3">
        <v>3704.0</v>
      </c>
      <c r="H101" s="3" t="str">
        <f>VLOOKUP(B101,'Currency Table'!$M$3:$N$6,2, FALSE)</f>
        <v>PLN</v>
      </c>
      <c r="I101" s="3"/>
      <c r="J101" s="3"/>
      <c r="K101" s="3"/>
      <c r="L101" s="3"/>
      <c r="M101" s="3"/>
      <c r="N101" s="3"/>
      <c r="O101" s="7"/>
      <c r="P101" s="3"/>
      <c r="Q101" s="3"/>
      <c r="R101" s="3"/>
      <c r="S101" s="3"/>
      <c r="T101" s="3"/>
      <c r="U101" s="3"/>
      <c r="V101" s="3"/>
      <c r="W101" s="3"/>
    </row>
    <row r="102" ht="15.75" customHeight="1">
      <c r="A102" s="3" t="s">
        <v>115</v>
      </c>
      <c r="B102" s="3" t="s">
        <v>9</v>
      </c>
      <c r="C102" s="3" t="s">
        <v>30</v>
      </c>
      <c r="D102" s="4">
        <v>45663.0</v>
      </c>
      <c r="E102" s="3">
        <v>19.0</v>
      </c>
      <c r="F102" s="5">
        <v>2.0</v>
      </c>
      <c r="G102" s="3">
        <v>1584.0</v>
      </c>
      <c r="H102" s="3" t="str">
        <f>VLOOKUP(B102,'Currency Table'!$M$3:$N$6,2, FALSE)</f>
        <v>PLN</v>
      </c>
      <c r="I102" s="3"/>
      <c r="J102" s="3"/>
      <c r="K102" s="3"/>
      <c r="L102" s="3"/>
      <c r="M102" s="3"/>
      <c r="N102" s="3"/>
      <c r="O102" s="7"/>
      <c r="P102" s="3"/>
      <c r="Q102" s="3"/>
      <c r="R102" s="3"/>
      <c r="S102" s="3"/>
      <c r="T102" s="3"/>
      <c r="U102" s="3"/>
      <c r="V102" s="3"/>
      <c r="W102" s="3"/>
    </row>
    <row r="103" ht="15.75" customHeight="1">
      <c r="A103" s="3" t="s">
        <v>15</v>
      </c>
      <c r="B103" s="3" t="s">
        <v>9</v>
      </c>
      <c r="C103" s="3" t="s">
        <v>16</v>
      </c>
      <c r="D103" s="4">
        <v>45670.0</v>
      </c>
      <c r="E103" s="3">
        <v>52.0</v>
      </c>
      <c r="F103" s="5">
        <v>2.0</v>
      </c>
      <c r="G103" s="3">
        <v>3308.0</v>
      </c>
      <c r="H103" s="3" t="str">
        <f>VLOOKUP(B103,'Currency Table'!$M$3:$N$6,2, FALSE)</f>
        <v>PLN</v>
      </c>
      <c r="I103" s="3"/>
      <c r="J103" s="3"/>
      <c r="K103" s="3"/>
      <c r="L103" s="3"/>
      <c r="M103" s="3"/>
      <c r="N103" s="3"/>
      <c r="O103" s="7"/>
      <c r="P103" s="3"/>
      <c r="Q103" s="3"/>
      <c r="R103" s="3"/>
      <c r="S103" s="3"/>
      <c r="T103" s="3"/>
      <c r="U103" s="3"/>
      <c r="V103" s="3"/>
      <c r="W103" s="3"/>
    </row>
    <row r="104" ht="15.75" customHeight="1">
      <c r="A104" s="3" t="s">
        <v>8</v>
      </c>
      <c r="B104" s="3" t="s">
        <v>9</v>
      </c>
      <c r="C104" s="3" t="s">
        <v>10</v>
      </c>
      <c r="D104" s="4">
        <v>45670.0</v>
      </c>
      <c r="E104" s="3">
        <v>63.0</v>
      </c>
      <c r="F104" s="5">
        <v>4.0</v>
      </c>
      <c r="G104" s="3">
        <v>4062.0</v>
      </c>
      <c r="H104" s="3" t="str">
        <f>VLOOKUP(B104,'Currency Table'!$M$3:$N$6,2, FALSE)</f>
        <v>PLN</v>
      </c>
      <c r="I104" s="3"/>
      <c r="J104" s="3"/>
      <c r="K104" s="3"/>
      <c r="L104" s="3"/>
      <c r="M104" s="3"/>
      <c r="N104" s="3"/>
      <c r="O104" s="7"/>
      <c r="P104" s="3"/>
      <c r="Q104" s="3"/>
      <c r="R104" s="3"/>
      <c r="S104" s="3"/>
      <c r="T104" s="3"/>
      <c r="U104" s="3"/>
      <c r="V104" s="3"/>
      <c r="W104" s="3"/>
    </row>
    <row r="105" ht="15.75" customHeight="1">
      <c r="A105" s="3" t="s">
        <v>17</v>
      </c>
      <c r="B105" s="3" t="s">
        <v>9</v>
      </c>
      <c r="C105" s="3" t="s">
        <v>16</v>
      </c>
      <c r="D105" s="4">
        <v>45670.0</v>
      </c>
      <c r="E105" s="3">
        <v>59.0</v>
      </c>
      <c r="F105" s="5">
        <v>1.0</v>
      </c>
      <c r="G105" s="3">
        <v>3092.0</v>
      </c>
      <c r="H105" s="3" t="str">
        <f>VLOOKUP(B105,'Currency Table'!$M$3:$N$6,2, FALSE)</f>
        <v>PLN</v>
      </c>
      <c r="I105" s="3"/>
      <c r="J105" s="3"/>
      <c r="K105" s="3"/>
      <c r="L105" s="3"/>
      <c r="M105" s="3"/>
      <c r="N105" s="3"/>
      <c r="O105" s="7"/>
      <c r="P105" s="3"/>
      <c r="Q105" s="3"/>
      <c r="R105" s="3"/>
      <c r="S105" s="3"/>
      <c r="T105" s="3"/>
      <c r="U105" s="3"/>
      <c r="V105" s="3"/>
      <c r="W105" s="3"/>
    </row>
    <row r="106" ht="15.75" customHeight="1">
      <c r="A106" s="3" t="s">
        <v>19</v>
      </c>
      <c r="B106" s="3" t="s">
        <v>9</v>
      </c>
      <c r="C106" s="3" t="s">
        <v>14</v>
      </c>
      <c r="D106" s="4">
        <v>45670.0</v>
      </c>
      <c r="E106" s="3">
        <v>22.0</v>
      </c>
      <c r="F106" s="5">
        <v>1.0</v>
      </c>
      <c r="G106" s="3">
        <v>1463.0</v>
      </c>
      <c r="H106" s="3" t="str">
        <f>VLOOKUP(B106,'Currency Table'!$M$3:$N$6,2, FALSE)</f>
        <v>PLN</v>
      </c>
      <c r="I106" s="3"/>
      <c r="J106" s="3"/>
      <c r="K106" s="3"/>
      <c r="L106" s="3"/>
      <c r="M106" s="3"/>
      <c r="N106" s="3"/>
      <c r="O106" s="7"/>
      <c r="P106" s="3"/>
      <c r="Q106" s="3"/>
      <c r="R106" s="3"/>
      <c r="S106" s="3"/>
      <c r="T106" s="3"/>
      <c r="U106" s="3"/>
      <c r="V106" s="3"/>
      <c r="W106" s="3"/>
    </row>
    <row r="107" ht="15.75" customHeight="1">
      <c r="A107" s="3" t="s">
        <v>32</v>
      </c>
      <c r="B107" s="3" t="s">
        <v>9</v>
      </c>
      <c r="C107" s="3" t="s">
        <v>14</v>
      </c>
      <c r="D107" s="4">
        <v>45670.0</v>
      </c>
      <c r="E107" s="3">
        <v>24.0</v>
      </c>
      <c r="F107" s="5">
        <v>0.0</v>
      </c>
      <c r="G107" s="3">
        <v>1528.0</v>
      </c>
      <c r="H107" s="3" t="str">
        <f>VLOOKUP(B107,'Currency Table'!$M$3:$N$6,2, FALSE)</f>
        <v>PLN</v>
      </c>
      <c r="I107" s="3"/>
      <c r="J107" s="3"/>
      <c r="K107" s="3"/>
      <c r="L107" s="3"/>
      <c r="M107" s="3"/>
      <c r="N107" s="3"/>
      <c r="O107" s="7"/>
      <c r="P107" s="3"/>
      <c r="Q107" s="3"/>
      <c r="R107" s="3"/>
      <c r="S107" s="3"/>
      <c r="T107" s="3"/>
      <c r="U107" s="3"/>
      <c r="V107" s="3"/>
      <c r="W107" s="3"/>
    </row>
    <row r="108" ht="15.75" customHeight="1">
      <c r="A108" s="3" t="s">
        <v>49</v>
      </c>
      <c r="B108" s="3" t="s">
        <v>9</v>
      </c>
      <c r="C108" s="3" t="s">
        <v>14</v>
      </c>
      <c r="D108" s="4">
        <v>45670.0</v>
      </c>
      <c r="E108" s="3">
        <v>44.0</v>
      </c>
      <c r="F108" s="5">
        <v>0.0</v>
      </c>
      <c r="G108" s="3">
        <v>2982.0</v>
      </c>
      <c r="H108" s="3" t="str">
        <f>VLOOKUP(B108,'Currency Table'!$M$3:$N$6,2, FALSE)</f>
        <v>PLN</v>
      </c>
      <c r="I108" s="3"/>
      <c r="J108" s="3"/>
      <c r="K108" s="3"/>
      <c r="L108" s="3"/>
      <c r="M108" s="3"/>
      <c r="N108" s="3"/>
      <c r="O108" s="7"/>
      <c r="P108" s="3"/>
      <c r="Q108" s="3"/>
      <c r="R108" s="3"/>
      <c r="S108" s="3"/>
      <c r="T108" s="3"/>
      <c r="U108" s="3"/>
      <c r="V108" s="3"/>
      <c r="W108" s="3"/>
    </row>
    <row r="109" ht="15.75" customHeight="1">
      <c r="A109" s="3" t="s">
        <v>25</v>
      </c>
      <c r="B109" s="3" t="s">
        <v>9</v>
      </c>
      <c r="C109" s="3" t="s">
        <v>10</v>
      </c>
      <c r="D109" s="4">
        <v>45670.0</v>
      </c>
      <c r="E109" s="3">
        <v>45.0</v>
      </c>
      <c r="F109" s="5">
        <v>2.0</v>
      </c>
      <c r="G109" s="3">
        <v>2626.0</v>
      </c>
      <c r="H109" s="3" t="str">
        <f>VLOOKUP(B109,'Currency Table'!$M$3:$N$6,2, FALSE)</f>
        <v>PLN</v>
      </c>
      <c r="I109" s="3"/>
      <c r="J109" s="3"/>
      <c r="K109" s="3"/>
      <c r="L109" s="3"/>
      <c r="M109" s="3"/>
      <c r="N109" s="3"/>
      <c r="O109" s="7"/>
      <c r="P109" s="3"/>
      <c r="Q109" s="3"/>
      <c r="R109" s="3"/>
      <c r="S109" s="3"/>
      <c r="T109" s="3"/>
      <c r="U109" s="3"/>
      <c r="V109" s="3"/>
      <c r="W109" s="3"/>
    </row>
    <row r="110" ht="15.75" customHeight="1">
      <c r="A110" s="3" t="s">
        <v>21</v>
      </c>
      <c r="B110" s="3" t="s">
        <v>9</v>
      </c>
      <c r="C110" s="3" t="s">
        <v>16</v>
      </c>
      <c r="D110" s="4">
        <v>45670.0</v>
      </c>
      <c r="E110" s="3">
        <v>58.0</v>
      </c>
      <c r="F110" s="5">
        <v>2.0</v>
      </c>
      <c r="G110" s="3">
        <v>3428.0</v>
      </c>
      <c r="H110" s="3" t="str">
        <f>VLOOKUP(B110,'Currency Table'!$M$3:$N$6,2, FALSE)</f>
        <v>PLN</v>
      </c>
      <c r="I110" s="3"/>
      <c r="J110" s="3"/>
      <c r="K110" s="3"/>
      <c r="L110" s="3"/>
      <c r="M110" s="3"/>
      <c r="N110" s="3"/>
      <c r="O110" s="7"/>
      <c r="P110" s="3"/>
      <c r="Q110" s="3"/>
      <c r="R110" s="3"/>
      <c r="S110" s="3"/>
      <c r="T110" s="3"/>
      <c r="U110" s="3"/>
      <c r="V110" s="3"/>
      <c r="W110" s="3"/>
    </row>
    <row r="111" ht="15.75" customHeight="1">
      <c r="A111" s="3" t="s">
        <v>29</v>
      </c>
      <c r="B111" s="3" t="s">
        <v>9</v>
      </c>
      <c r="C111" s="3" t="s">
        <v>30</v>
      </c>
      <c r="D111" s="4">
        <v>45670.0</v>
      </c>
      <c r="E111" s="3">
        <v>64.0</v>
      </c>
      <c r="F111" s="5">
        <v>3.0</v>
      </c>
      <c r="G111" s="3">
        <v>4432.0</v>
      </c>
      <c r="H111" s="3" t="str">
        <f>VLOOKUP(B111,'Currency Table'!$M$3:$N$6,2, FALSE)</f>
        <v>PLN</v>
      </c>
      <c r="I111" s="3"/>
      <c r="J111" s="3"/>
      <c r="K111" s="3"/>
      <c r="L111" s="3"/>
      <c r="M111" s="3"/>
      <c r="N111" s="3"/>
      <c r="O111" s="7"/>
      <c r="P111" s="3"/>
      <c r="Q111" s="3"/>
      <c r="R111" s="3"/>
      <c r="S111" s="3"/>
      <c r="T111" s="3"/>
      <c r="U111" s="3"/>
      <c r="V111" s="3"/>
      <c r="W111" s="3"/>
    </row>
    <row r="112" ht="15.75" customHeight="1">
      <c r="A112" s="3" t="s">
        <v>28</v>
      </c>
      <c r="B112" s="3" t="s">
        <v>9</v>
      </c>
      <c r="C112" s="3" t="s">
        <v>10</v>
      </c>
      <c r="D112" s="4">
        <v>45670.0</v>
      </c>
      <c r="E112" s="3">
        <v>43.0</v>
      </c>
      <c r="F112" s="5">
        <v>4.0</v>
      </c>
      <c r="G112" s="3">
        <v>2699.0</v>
      </c>
      <c r="H112" s="3" t="str">
        <f>VLOOKUP(B112,'Currency Table'!$M$3:$N$6,2, FALSE)</f>
        <v>PLN</v>
      </c>
      <c r="I112" s="3"/>
      <c r="J112" s="3"/>
      <c r="K112" s="3"/>
      <c r="L112" s="3"/>
      <c r="M112" s="3"/>
      <c r="N112" s="3"/>
      <c r="O112" s="7"/>
      <c r="P112" s="3"/>
      <c r="Q112" s="3"/>
      <c r="R112" s="3"/>
      <c r="S112" s="3"/>
      <c r="T112" s="3"/>
      <c r="U112" s="3"/>
      <c r="V112" s="3"/>
      <c r="W112" s="3"/>
    </row>
    <row r="113" ht="15.75" customHeight="1">
      <c r="A113" s="3" t="s">
        <v>33</v>
      </c>
      <c r="B113" s="3" t="s">
        <v>9</v>
      </c>
      <c r="C113" s="3" t="s">
        <v>10</v>
      </c>
      <c r="D113" s="4">
        <v>45670.0</v>
      </c>
      <c r="E113" s="3">
        <v>63.0</v>
      </c>
      <c r="F113" s="5">
        <v>5.0</v>
      </c>
      <c r="G113" s="3">
        <v>4225.0</v>
      </c>
      <c r="H113" s="3" t="str">
        <f>VLOOKUP(B113,'Currency Table'!$M$3:$N$6,2, FALSE)</f>
        <v>PLN</v>
      </c>
      <c r="I113" s="3"/>
      <c r="J113" s="3"/>
      <c r="K113" s="3"/>
      <c r="L113" s="3"/>
      <c r="M113" s="3"/>
      <c r="N113" s="3"/>
      <c r="O113" s="7"/>
      <c r="P113" s="3"/>
      <c r="Q113" s="3"/>
      <c r="R113" s="3"/>
      <c r="S113" s="3"/>
      <c r="T113" s="3"/>
      <c r="U113" s="3"/>
      <c r="V113" s="3"/>
      <c r="W113" s="3"/>
    </row>
    <row r="114" ht="15.75" customHeight="1">
      <c r="A114" s="3" t="s">
        <v>36</v>
      </c>
      <c r="B114" s="3" t="s">
        <v>9</v>
      </c>
      <c r="C114" s="3" t="s">
        <v>30</v>
      </c>
      <c r="D114" s="4">
        <v>45670.0</v>
      </c>
      <c r="E114" s="3">
        <v>36.0</v>
      </c>
      <c r="F114" s="5">
        <v>0.0</v>
      </c>
      <c r="G114" s="3">
        <v>2109.0</v>
      </c>
      <c r="H114" s="3" t="str">
        <f>VLOOKUP(B114,'Currency Table'!$M$3:$N$6,2, FALSE)</f>
        <v>PLN</v>
      </c>
      <c r="I114" s="3"/>
      <c r="J114" s="3"/>
      <c r="K114" s="3"/>
      <c r="L114" s="3"/>
      <c r="M114" s="3"/>
      <c r="N114" s="3"/>
      <c r="O114" s="7"/>
      <c r="P114" s="3"/>
      <c r="Q114" s="3"/>
      <c r="R114" s="3"/>
      <c r="S114" s="3"/>
      <c r="T114" s="3"/>
      <c r="U114" s="3"/>
      <c r="V114" s="3"/>
      <c r="W114" s="3"/>
    </row>
    <row r="115" ht="15.75" customHeight="1">
      <c r="A115" s="3" t="s">
        <v>45</v>
      </c>
      <c r="B115" s="3" t="s">
        <v>9</v>
      </c>
      <c r="C115" s="3" t="s">
        <v>30</v>
      </c>
      <c r="D115" s="4">
        <v>45670.0</v>
      </c>
      <c r="E115" s="3">
        <v>30.0</v>
      </c>
      <c r="F115" s="5">
        <v>1.0</v>
      </c>
      <c r="G115" s="3">
        <v>1377.0</v>
      </c>
      <c r="H115" s="3" t="str">
        <f>VLOOKUP(B115,'Currency Table'!$M$3:$N$6,2, FALSE)</f>
        <v>PLN</v>
      </c>
      <c r="I115" s="3"/>
      <c r="J115" s="3"/>
      <c r="K115" s="3"/>
      <c r="L115" s="3"/>
      <c r="M115" s="3"/>
      <c r="N115" s="3"/>
      <c r="O115" s="7"/>
      <c r="P115" s="3"/>
      <c r="Q115" s="3"/>
      <c r="R115" s="3"/>
      <c r="S115" s="3"/>
      <c r="T115" s="3"/>
      <c r="U115" s="3"/>
      <c r="V115" s="3"/>
      <c r="W115" s="3"/>
    </row>
    <row r="116" ht="15.75" customHeight="1">
      <c r="A116" s="3" t="s">
        <v>43</v>
      </c>
      <c r="B116" s="3" t="s">
        <v>9</v>
      </c>
      <c r="C116" s="3" t="s">
        <v>16</v>
      </c>
      <c r="D116" s="4">
        <v>45670.0</v>
      </c>
      <c r="E116" s="3">
        <v>51.0</v>
      </c>
      <c r="F116" s="5">
        <v>0.0</v>
      </c>
      <c r="G116" s="3">
        <v>3504.0</v>
      </c>
      <c r="H116" s="3" t="str">
        <f>VLOOKUP(B116,'Currency Table'!$M$3:$N$6,2, FALSE)</f>
        <v>PLN</v>
      </c>
      <c r="I116" s="3"/>
      <c r="J116" s="3"/>
      <c r="K116" s="3"/>
      <c r="L116" s="3"/>
      <c r="M116" s="3"/>
      <c r="N116" s="3"/>
      <c r="O116" s="7"/>
      <c r="P116" s="3"/>
      <c r="Q116" s="3"/>
      <c r="R116" s="3"/>
      <c r="S116" s="3"/>
      <c r="T116" s="3"/>
      <c r="U116" s="3"/>
      <c r="V116" s="3"/>
      <c r="W116" s="3"/>
    </row>
    <row r="117" ht="15.75" customHeight="1">
      <c r="A117" s="3" t="s">
        <v>46</v>
      </c>
      <c r="B117" s="3" t="s">
        <v>9</v>
      </c>
      <c r="C117" s="3" t="s">
        <v>30</v>
      </c>
      <c r="D117" s="4">
        <v>45670.0</v>
      </c>
      <c r="E117" s="3">
        <v>54.0</v>
      </c>
      <c r="F117" s="5">
        <v>3.0</v>
      </c>
      <c r="G117" s="3">
        <v>3288.0</v>
      </c>
      <c r="H117" s="3" t="str">
        <f>VLOOKUP(B117,'Currency Table'!$M$3:$N$6,2, FALSE)</f>
        <v>PLN</v>
      </c>
      <c r="I117" s="3"/>
      <c r="J117" s="3"/>
      <c r="K117" s="3"/>
      <c r="L117" s="3"/>
      <c r="M117" s="3"/>
      <c r="N117" s="3"/>
      <c r="O117" s="7"/>
      <c r="P117" s="3"/>
      <c r="Q117" s="3"/>
      <c r="R117" s="3"/>
      <c r="S117" s="3"/>
      <c r="T117" s="3"/>
      <c r="U117" s="3"/>
      <c r="V117" s="3"/>
      <c r="W117" s="3"/>
    </row>
    <row r="118" ht="15.75" customHeight="1">
      <c r="A118" s="3" t="s">
        <v>47</v>
      </c>
      <c r="B118" s="3" t="s">
        <v>9</v>
      </c>
      <c r="C118" s="3" t="s">
        <v>16</v>
      </c>
      <c r="D118" s="4">
        <v>45670.0</v>
      </c>
      <c r="E118" s="3">
        <v>26.0</v>
      </c>
      <c r="F118" s="5">
        <v>3.0</v>
      </c>
      <c r="G118" s="3">
        <v>1746.0</v>
      </c>
      <c r="H118" s="3" t="str">
        <f>VLOOKUP(B118,'Currency Table'!$M$3:$N$6,2, FALSE)</f>
        <v>PLN</v>
      </c>
      <c r="I118" s="3"/>
      <c r="J118" s="3"/>
      <c r="K118" s="3"/>
      <c r="L118" s="3"/>
      <c r="M118" s="3"/>
      <c r="N118" s="3"/>
      <c r="O118" s="7"/>
      <c r="P118" s="3"/>
      <c r="Q118" s="3"/>
      <c r="R118" s="3"/>
      <c r="S118" s="3"/>
      <c r="T118" s="3"/>
      <c r="U118" s="3"/>
      <c r="V118" s="3"/>
      <c r="W118" s="3"/>
    </row>
    <row r="119" ht="15.75" customHeight="1">
      <c r="A119" s="3" t="s">
        <v>63</v>
      </c>
      <c r="B119" s="3" t="s">
        <v>9</v>
      </c>
      <c r="C119" s="3" t="s">
        <v>30</v>
      </c>
      <c r="D119" s="4">
        <v>45670.0</v>
      </c>
      <c r="E119" s="3">
        <v>56.0</v>
      </c>
      <c r="F119" s="5">
        <v>1.0</v>
      </c>
      <c r="G119" s="3">
        <v>3672.0</v>
      </c>
      <c r="H119" s="3" t="str">
        <f>VLOOKUP(B119,'Currency Table'!$M$3:$N$6,2, FALSE)</f>
        <v>PLN</v>
      </c>
      <c r="I119" s="3"/>
      <c r="J119" s="3"/>
      <c r="K119" s="3"/>
      <c r="L119" s="3"/>
      <c r="M119" s="3"/>
      <c r="N119" s="3"/>
      <c r="O119" s="7"/>
      <c r="P119" s="3"/>
      <c r="Q119" s="3"/>
      <c r="R119" s="3"/>
      <c r="S119" s="3"/>
      <c r="T119" s="3"/>
      <c r="U119" s="3"/>
      <c r="V119" s="3"/>
      <c r="W119" s="3"/>
    </row>
    <row r="120" ht="15.75" customHeight="1">
      <c r="A120" s="3" t="s">
        <v>48</v>
      </c>
      <c r="B120" s="3" t="s">
        <v>9</v>
      </c>
      <c r="C120" s="3" t="s">
        <v>16</v>
      </c>
      <c r="D120" s="4">
        <v>45670.0</v>
      </c>
      <c r="E120" s="3">
        <v>38.0</v>
      </c>
      <c r="F120" s="5">
        <v>2.0</v>
      </c>
      <c r="G120" s="3">
        <v>2749.0</v>
      </c>
      <c r="H120" s="3" t="str">
        <f>VLOOKUP(B120,'Currency Table'!$M$3:$N$6,2, FALSE)</f>
        <v>PLN</v>
      </c>
      <c r="I120" s="3"/>
      <c r="J120" s="3"/>
      <c r="K120" s="3"/>
      <c r="L120" s="3"/>
      <c r="M120" s="3"/>
      <c r="N120" s="3"/>
      <c r="O120" s="7"/>
      <c r="P120" s="3"/>
      <c r="Q120" s="3"/>
      <c r="R120" s="3"/>
      <c r="S120" s="3"/>
      <c r="T120" s="3"/>
      <c r="U120" s="3"/>
      <c r="V120" s="3"/>
      <c r="W120" s="3"/>
    </row>
    <row r="121" ht="15.75" customHeight="1">
      <c r="A121" s="3" t="s">
        <v>50</v>
      </c>
      <c r="B121" s="3" t="s">
        <v>9</v>
      </c>
      <c r="C121" s="3" t="s">
        <v>16</v>
      </c>
      <c r="D121" s="4">
        <v>45670.0</v>
      </c>
      <c r="E121" s="3">
        <v>22.0</v>
      </c>
      <c r="F121" s="5">
        <v>0.0</v>
      </c>
      <c r="G121" s="3">
        <v>1715.0</v>
      </c>
      <c r="H121" s="3" t="str">
        <f>VLOOKUP(B121,'Currency Table'!$M$3:$N$6,2, FALSE)</f>
        <v>PLN</v>
      </c>
      <c r="I121" s="3"/>
      <c r="J121" s="3"/>
      <c r="K121" s="3"/>
      <c r="L121" s="3"/>
      <c r="M121" s="3"/>
      <c r="N121" s="3"/>
      <c r="O121" s="7"/>
      <c r="P121" s="3"/>
      <c r="Q121" s="3"/>
      <c r="R121" s="3"/>
      <c r="S121" s="3"/>
      <c r="T121" s="3"/>
      <c r="U121" s="3"/>
      <c r="V121" s="3"/>
      <c r="W121" s="3"/>
    </row>
    <row r="122" ht="15.75" customHeight="1">
      <c r="A122" s="3" t="s">
        <v>68</v>
      </c>
      <c r="B122" s="3" t="s">
        <v>9</v>
      </c>
      <c r="C122" s="3" t="s">
        <v>30</v>
      </c>
      <c r="D122" s="4">
        <v>45670.0</v>
      </c>
      <c r="E122" s="3">
        <v>35.0</v>
      </c>
      <c r="F122" s="5">
        <v>2.0</v>
      </c>
      <c r="G122" s="3">
        <v>2901.0</v>
      </c>
      <c r="H122" s="3" t="str">
        <f>VLOOKUP(B122,'Currency Table'!$M$3:$N$6,2, FALSE)</f>
        <v>PLN</v>
      </c>
      <c r="I122" s="3"/>
      <c r="J122" s="3"/>
      <c r="K122" s="3"/>
      <c r="L122" s="3"/>
      <c r="M122" s="3"/>
      <c r="N122" s="3"/>
      <c r="O122" s="7"/>
      <c r="P122" s="3"/>
      <c r="Q122" s="3"/>
      <c r="R122" s="3"/>
      <c r="S122" s="3"/>
      <c r="T122" s="3"/>
      <c r="U122" s="3"/>
      <c r="V122" s="3"/>
      <c r="W122" s="3"/>
    </row>
    <row r="123" ht="15.75" customHeight="1">
      <c r="A123" s="3" t="s">
        <v>11</v>
      </c>
      <c r="B123" s="3" t="s">
        <v>9</v>
      </c>
      <c r="C123" s="3" t="s">
        <v>12</v>
      </c>
      <c r="D123" s="4">
        <v>45670.0</v>
      </c>
      <c r="E123" s="3">
        <v>10.0</v>
      </c>
      <c r="F123" s="5">
        <v>2.0</v>
      </c>
      <c r="G123" s="3">
        <v>1141.0</v>
      </c>
      <c r="H123" s="3" t="str">
        <f>VLOOKUP(B123,'Currency Table'!$M$3:$N$6,2, FALSE)</f>
        <v>PLN</v>
      </c>
      <c r="I123" s="3"/>
      <c r="J123" s="3"/>
      <c r="K123" s="3"/>
      <c r="L123" s="3"/>
      <c r="M123" s="3"/>
      <c r="N123" s="3"/>
      <c r="O123" s="7"/>
      <c r="P123" s="3"/>
      <c r="Q123" s="3"/>
      <c r="R123" s="3"/>
      <c r="S123" s="3"/>
      <c r="T123" s="3"/>
      <c r="U123" s="3"/>
      <c r="V123" s="3"/>
      <c r="W123" s="3"/>
    </row>
    <row r="124" ht="15.75" customHeight="1">
      <c r="A124" s="3" t="s">
        <v>51</v>
      </c>
      <c r="B124" s="3" t="s">
        <v>9</v>
      </c>
      <c r="C124" s="3" t="s">
        <v>14</v>
      </c>
      <c r="D124" s="4">
        <v>45670.0</v>
      </c>
      <c r="E124" s="3">
        <v>48.0</v>
      </c>
      <c r="F124" s="5">
        <v>0.0</v>
      </c>
      <c r="G124" s="3">
        <v>3017.0</v>
      </c>
      <c r="H124" s="3" t="str">
        <f>VLOOKUP(B124,'Currency Table'!$M$3:$N$6,2, FALSE)</f>
        <v>PLN</v>
      </c>
      <c r="I124" s="3"/>
      <c r="J124" s="3"/>
      <c r="K124" s="3"/>
      <c r="L124" s="3"/>
      <c r="M124" s="3"/>
      <c r="N124" s="3"/>
      <c r="O124" s="7"/>
      <c r="P124" s="3"/>
      <c r="Q124" s="3"/>
      <c r="R124" s="3"/>
      <c r="S124" s="3"/>
      <c r="T124" s="3"/>
      <c r="U124" s="3"/>
      <c r="V124" s="3"/>
      <c r="W124" s="3"/>
    </row>
    <row r="125" ht="15.75" customHeight="1">
      <c r="A125" s="3" t="s">
        <v>75</v>
      </c>
      <c r="B125" s="3" t="s">
        <v>9</v>
      </c>
      <c r="C125" s="3" t="s">
        <v>30</v>
      </c>
      <c r="D125" s="4">
        <v>45670.0</v>
      </c>
      <c r="E125" s="3">
        <v>14.0</v>
      </c>
      <c r="F125" s="5">
        <v>2.0</v>
      </c>
      <c r="G125" s="3">
        <v>774.0</v>
      </c>
      <c r="H125" s="3" t="str">
        <f>VLOOKUP(B125,'Currency Table'!$M$3:$N$6,2, FALSE)</f>
        <v>PLN</v>
      </c>
      <c r="I125" s="3"/>
      <c r="J125" s="3"/>
      <c r="K125" s="3"/>
      <c r="L125" s="3"/>
      <c r="M125" s="3"/>
      <c r="N125" s="3"/>
      <c r="O125" s="7"/>
      <c r="P125" s="3"/>
      <c r="Q125" s="3"/>
      <c r="R125" s="3"/>
      <c r="S125" s="3"/>
      <c r="T125" s="3"/>
      <c r="U125" s="3"/>
      <c r="V125" s="3"/>
      <c r="W125" s="3"/>
    </row>
    <row r="126" ht="15.75" customHeight="1">
      <c r="A126" s="3" t="s">
        <v>22</v>
      </c>
      <c r="B126" s="3" t="s">
        <v>9</v>
      </c>
      <c r="C126" s="3" t="s">
        <v>23</v>
      </c>
      <c r="D126" s="4">
        <v>45670.0</v>
      </c>
      <c r="E126" s="3">
        <v>51.0</v>
      </c>
      <c r="F126" s="5">
        <v>4.0</v>
      </c>
      <c r="G126" s="3">
        <v>3651.0</v>
      </c>
      <c r="H126" s="3" t="str">
        <f>VLOOKUP(B126,'Currency Table'!$M$3:$N$6,2, FALSE)</f>
        <v>PLN</v>
      </c>
      <c r="I126" s="3"/>
      <c r="J126" s="3"/>
      <c r="K126" s="3"/>
      <c r="L126" s="3"/>
      <c r="M126" s="3"/>
      <c r="N126" s="3"/>
      <c r="O126" s="7"/>
      <c r="P126" s="3"/>
      <c r="Q126" s="3"/>
      <c r="R126" s="3"/>
      <c r="S126" s="3"/>
      <c r="T126" s="3"/>
      <c r="U126" s="3"/>
      <c r="V126" s="3"/>
      <c r="W126" s="3"/>
    </row>
    <row r="127" ht="15.75" customHeight="1">
      <c r="A127" s="3" t="s">
        <v>78</v>
      </c>
      <c r="B127" s="3" t="s">
        <v>9</v>
      </c>
      <c r="C127" s="3" t="s">
        <v>30</v>
      </c>
      <c r="D127" s="4">
        <v>45670.0</v>
      </c>
      <c r="E127" s="3">
        <v>62.0</v>
      </c>
      <c r="F127" s="5">
        <v>4.0</v>
      </c>
      <c r="G127" s="3">
        <v>4104.0</v>
      </c>
      <c r="H127" s="3" t="str">
        <f>VLOOKUP(B127,'Currency Table'!$M$3:$N$6,2, FALSE)</f>
        <v>PLN</v>
      </c>
      <c r="I127" s="3"/>
      <c r="J127" s="3"/>
      <c r="K127" s="3"/>
      <c r="L127" s="3"/>
      <c r="M127" s="3"/>
      <c r="N127" s="3"/>
      <c r="O127" s="7"/>
      <c r="P127" s="3"/>
      <c r="Q127" s="3"/>
      <c r="R127" s="3"/>
      <c r="S127" s="3"/>
      <c r="T127" s="3"/>
      <c r="U127" s="3"/>
      <c r="V127" s="3"/>
      <c r="W127" s="3"/>
    </row>
    <row r="128" ht="15.75" customHeight="1">
      <c r="A128" s="3" t="s">
        <v>34</v>
      </c>
      <c r="B128" s="3" t="s">
        <v>9</v>
      </c>
      <c r="C128" s="3" t="s">
        <v>10</v>
      </c>
      <c r="D128" s="4">
        <v>45670.0</v>
      </c>
      <c r="E128" s="3">
        <v>40.0</v>
      </c>
      <c r="F128" s="5">
        <v>4.0</v>
      </c>
      <c r="G128" s="3">
        <v>2440.0</v>
      </c>
      <c r="H128" s="3" t="str">
        <f>VLOOKUP(B128,'Currency Table'!$M$3:$N$6,2, FALSE)</f>
        <v>PLN</v>
      </c>
      <c r="I128" s="3"/>
      <c r="J128" s="3"/>
      <c r="K128" s="3"/>
      <c r="L128" s="3"/>
      <c r="M128" s="3"/>
      <c r="N128" s="3"/>
      <c r="O128" s="7"/>
      <c r="P128" s="3"/>
      <c r="Q128" s="3"/>
      <c r="R128" s="3"/>
      <c r="S128" s="3"/>
      <c r="T128" s="3"/>
      <c r="U128" s="3"/>
      <c r="V128" s="3"/>
      <c r="W128" s="3"/>
    </row>
    <row r="129" ht="15.75" customHeight="1">
      <c r="A129" s="3" t="s">
        <v>18</v>
      </c>
      <c r="B129" s="3" t="s">
        <v>9</v>
      </c>
      <c r="C129" s="3" t="s">
        <v>12</v>
      </c>
      <c r="D129" s="4">
        <v>45670.0</v>
      </c>
      <c r="E129" s="3">
        <v>39.0</v>
      </c>
      <c r="F129" s="5">
        <v>2.0</v>
      </c>
      <c r="G129" s="3">
        <v>2403.0</v>
      </c>
      <c r="H129" s="3" t="str">
        <f>VLOOKUP(B129,'Currency Table'!$M$3:$N$6,2, FALSE)</f>
        <v>PLN</v>
      </c>
      <c r="I129" s="3"/>
      <c r="J129" s="3"/>
      <c r="K129" s="3"/>
      <c r="L129" s="3"/>
      <c r="M129" s="3"/>
      <c r="N129" s="3"/>
      <c r="O129" s="7"/>
      <c r="P129" s="3"/>
      <c r="Q129" s="3"/>
      <c r="R129" s="3"/>
      <c r="S129" s="3"/>
      <c r="T129" s="3"/>
      <c r="U129" s="3"/>
      <c r="V129" s="3"/>
      <c r="W129" s="3"/>
    </row>
    <row r="130" ht="15.75" customHeight="1">
      <c r="A130" s="3" t="s">
        <v>53</v>
      </c>
      <c r="B130" s="3" t="s">
        <v>9</v>
      </c>
      <c r="C130" s="3" t="s">
        <v>14</v>
      </c>
      <c r="D130" s="4">
        <v>45670.0</v>
      </c>
      <c r="E130" s="3">
        <v>64.0</v>
      </c>
      <c r="F130" s="5">
        <v>1.0</v>
      </c>
      <c r="G130" s="3">
        <v>4296.0</v>
      </c>
      <c r="H130" s="3" t="str">
        <f>VLOOKUP(B130,'Currency Table'!$M$3:$N$6,2, FALSE)</f>
        <v>PLN</v>
      </c>
      <c r="I130" s="3"/>
      <c r="J130" s="3"/>
      <c r="K130" s="3"/>
      <c r="L130" s="3"/>
      <c r="M130" s="3"/>
      <c r="N130" s="3"/>
      <c r="O130" s="7"/>
      <c r="P130" s="3"/>
      <c r="Q130" s="3"/>
      <c r="R130" s="3"/>
      <c r="S130" s="3"/>
      <c r="T130" s="3"/>
      <c r="U130" s="3"/>
      <c r="V130" s="3"/>
      <c r="W130" s="3"/>
    </row>
    <row r="131" ht="15.75" customHeight="1">
      <c r="A131" s="3" t="s">
        <v>80</v>
      </c>
      <c r="B131" s="3" t="s">
        <v>9</v>
      </c>
      <c r="C131" s="3" t="s">
        <v>30</v>
      </c>
      <c r="D131" s="4">
        <v>45670.0</v>
      </c>
      <c r="E131" s="3">
        <v>14.0</v>
      </c>
      <c r="F131" s="5">
        <v>3.0</v>
      </c>
      <c r="G131" s="3">
        <v>1095.0</v>
      </c>
      <c r="H131" s="3" t="str">
        <f>VLOOKUP(B131,'Currency Table'!$M$3:$N$6,2, FALSE)</f>
        <v>PLN</v>
      </c>
      <c r="I131" s="3"/>
      <c r="J131" s="3"/>
      <c r="K131" s="3"/>
      <c r="L131" s="3"/>
      <c r="M131" s="3"/>
      <c r="N131" s="3"/>
      <c r="O131" s="7"/>
      <c r="P131" s="3"/>
      <c r="Q131" s="3"/>
      <c r="R131" s="3"/>
      <c r="S131" s="3"/>
      <c r="T131" s="3"/>
      <c r="U131" s="3"/>
      <c r="V131" s="3"/>
      <c r="W131" s="3"/>
    </row>
    <row r="132" ht="15.75" customHeight="1">
      <c r="A132" s="3" t="s">
        <v>97</v>
      </c>
      <c r="B132" s="3" t="s">
        <v>9</v>
      </c>
      <c r="C132" s="3" t="s">
        <v>30</v>
      </c>
      <c r="D132" s="4">
        <v>45670.0</v>
      </c>
      <c r="E132" s="3">
        <v>28.0</v>
      </c>
      <c r="F132" s="5">
        <v>1.0</v>
      </c>
      <c r="G132" s="3">
        <v>1013.0</v>
      </c>
      <c r="H132" s="3" t="str">
        <f>VLOOKUP(B132,'Currency Table'!$M$3:$N$6,2, FALSE)</f>
        <v>PLN</v>
      </c>
      <c r="I132" s="3"/>
      <c r="J132" s="3"/>
      <c r="K132" s="3"/>
      <c r="L132" s="3"/>
      <c r="M132" s="3"/>
      <c r="N132" s="3"/>
      <c r="O132" s="7"/>
      <c r="P132" s="3"/>
      <c r="Q132" s="3"/>
      <c r="R132" s="3"/>
      <c r="S132" s="3"/>
      <c r="T132" s="3"/>
      <c r="U132" s="3"/>
      <c r="V132" s="3"/>
      <c r="W132" s="3"/>
    </row>
    <row r="133" ht="15.75" customHeight="1">
      <c r="A133" s="3" t="s">
        <v>98</v>
      </c>
      <c r="B133" s="3" t="s">
        <v>9</v>
      </c>
      <c r="C133" s="3" t="s">
        <v>30</v>
      </c>
      <c r="D133" s="4">
        <v>45670.0</v>
      </c>
      <c r="E133" s="3">
        <v>14.0</v>
      </c>
      <c r="F133" s="5">
        <v>4.0</v>
      </c>
      <c r="G133" s="3">
        <v>1204.0</v>
      </c>
      <c r="H133" s="3" t="str">
        <f>VLOOKUP(B133,'Currency Table'!$M$3:$N$6,2, FALSE)</f>
        <v>PLN</v>
      </c>
      <c r="I133" s="3"/>
      <c r="J133" s="3"/>
      <c r="K133" s="3"/>
      <c r="L133" s="3"/>
      <c r="M133" s="3"/>
      <c r="N133" s="3"/>
      <c r="O133" s="7"/>
      <c r="P133" s="3"/>
      <c r="Q133" s="3"/>
      <c r="R133" s="3"/>
      <c r="S133" s="3"/>
      <c r="T133" s="3"/>
      <c r="U133" s="3"/>
      <c r="V133" s="3"/>
      <c r="W133" s="3"/>
    </row>
    <row r="134" ht="15.75" customHeight="1">
      <c r="A134" s="3" t="s">
        <v>101</v>
      </c>
      <c r="B134" s="3" t="s">
        <v>9</v>
      </c>
      <c r="C134" s="3" t="s">
        <v>30</v>
      </c>
      <c r="D134" s="4">
        <v>45670.0</v>
      </c>
      <c r="E134" s="3">
        <v>24.0</v>
      </c>
      <c r="F134" s="5">
        <v>4.0</v>
      </c>
      <c r="G134" s="3">
        <v>1077.0</v>
      </c>
      <c r="H134" s="3" t="str">
        <f>VLOOKUP(B134,'Currency Table'!$M$3:$N$6,2, FALSE)</f>
        <v>PLN</v>
      </c>
      <c r="I134" s="3"/>
      <c r="J134" s="3"/>
      <c r="K134" s="3"/>
      <c r="L134" s="3"/>
      <c r="M134" s="3"/>
      <c r="N134" s="3"/>
      <c r="O134" s="7"/>
      <c r="P134" s="3"/>
      <c r="Q134" s="3"/>
      <c r="R134" s="3"/>
      <c r="S134" s="3"/>
      <c r="T134" s="3"/>
      <c r="U134" s="3"/>
      <c r="V134" s="3"/>
      <c r="W134" s="3"/>
    </row>
    <row r="135" ht="15.75" customHeight="1">
      <c r="A135" s="3" t="s">
        <v>35</v>
      </c>
      <c r="B135" s="3" t="s">
        <v>9</v>
      </c>
      <c r="C135" s="3" t="s">
        <v>10</v>
      </c>
      <c r="D135" s="4">
        <v>45670.0</v>
      </c>
      <c r="E135" s="3">
        <v>38.0</v>
      </c>
      <c r="F135" s="5">
        <v>3.0</v>
      </c>
      <c r="G135" s="3">
        <v>2347.0</v>
      </c>
      <c r="H135" s="3" t="str">
        <f>VLOOKUP(B135,'Currency Table'!$M$3:$N$6,2, FALSE)</f>
        <v>PLN</v>
      </c>
      <c r="I135" s="3"/>
      <c r="J135" s="3"/>
      <c r="K135" s="3"/>
      <c r="L135" s="3"/>
      <c r="M135" s="3"/>
      <c r="N135" s="3"/>
      <c r="O135" s="7"/>
      <c r="P135" s="3"/>
      <c r="Q135" s="3"/>
      <c r="R135" s="3"/>
      <c r="S135" s="3"/>
      <c r="T135" s="3"/>
      <c r="U135" s="3"/>
      <c r="V135" s="3"/>
      <c r="W135" s="3"/>
    </row>
    <row r="136" ht="15.75" customHeight="1">
      <c r="A136" s="3" t="s">
        <v>102</v>
      </c>
      <c r="B136" s="3" t="s">
        <v>9</v>
      </c>
      <c r="C136" s="3" t="s">
        <v>30</v>
      </c>
      <c r="D136" s="4">
        <v>45670.0</v>
      </c>
      <c r="E136" s="3">
        <v>13.0</v>
      </c>
      <c r="F136" s="5">
        <v>2.0</v>
      </c>
      <c r="G136" s="3">
        <v>796.0</v>
      </c>
      <c r="H136" s="3" t="str">
        <f>VLOOKUP(B136,'Currency Table'!$M$3:$N$6,2, FALSE)</f>
        <v>PLN</v>
      </c>
      <c r="I136" s="3"/>
      <c r="J136" s="3"/>
      <c r="K136" s="3"/>
      <c r="L136" s="3"/>
      <c r="M136" s="3"/>
      <c r="N136" s="3"/>
      <c r="O136" s="7"/>
      <c r="P136" s="3"/>
      <c r="Q136" s="3"/>
      <c r="R136" s="3"/>
      <c r="S136" s="3"/>
      <c r="T136" s="3"/>
      <c r="U136" s="3"/>
      <c r="V136" s="3"/>
      <c r="W136" s="3"/>
    </row>
    <row r="137" ht="15.75" customHeight="1">
      <c r="A137" s="3" t="s">
        <v>39</v>
      </c>
      <c r="B137" s="3" t="s">
        <v>9</v>
      </c>
      <c r="C137" s="3" t="s">
        <v>10</v>
      </c>
      <c r="D137" s="4">
        <v>45670.0</v>
      </c>
      <c r="E137" s="3">
        <v>52.0</v>
      </c>
      <c r="F137" s="5">
        <v>0.0</v>
      </c>
      <c r="G137" s="3">
        <v>3551.0</v>
      </c>
      <c r="H137" s="3" t="str">
        <f>VLOOKUP(B137,'Currency Table'!$M$3:$N$6,2, FALSE)</f>
        <v>PLN</v>
      </c>
      <c r="I137" s="3"/>
      <c r="J137" s="3"/>
      <c r="K137" s="3"/>
      <c r="L137" s="3"/>
      <c r="M137" s="3"/>
      <c r="N137" s="3"/>
      <c r="O137" s="7"/>
      <c r="P137" s="3"/>
      <c r="Q137" s="3"/>
      <c r="R137" s="3"/>
      <c r="S137" s="3"/>
      <c r="T137" s="3"/>
      <c r="U137" s="3"/>
      <c r="V137" s="3"/>
      <c r="W137" s="3"/>
    </row>
    <row r="138" ht="15.75" customHeight="1">
      <c r="A138" s="3" t="s">
        <v>26</v>
      </c>
      <c r="B138" s="3" t="s">
        <v>9</v>
      </c>
      <c r="C138" s="3" t="s">
        <v>12</v>
      </c>
      <c r="D138" s="4">
        <v>45670.0</v>
      </c>
      <c r="E138" s="3">
        <v>15.0</v>
      </c>
      <c r="F138" s="5">
        <v>1.0</v>
      </c>
      <c r="G138" s="3">
        <v>1279.0</v>
      </c>
      <c r="H138" s="3" t="str">
        <f>VLOOKUP(B138,'Currency Table'!$M$3:$N$6,2, FALSE)</f>
        <v>PLN</v>
      </c>
      <c r="I138" s="3"/>
      <c r="J138" s="3"/>
      <c r="K138" s="3"/>
      <c r="L138" s="3"/>
      <c r="M138" s="3"/>
      <c r="N138" s="3"/>
      <c r="O138" s="7"/>
      <c r="P138" s="3"/>
      <c r="Q138" s="3"/>
      <c r="R138" s="3"/>
      <c r="S138" s="3"/>
      <c r="T138" s="3"/>
      <c r="U138" s="3"/>
      <c r="V138" s="3"/>
      <c r="W138" s="3"/>
    </row>
    <row r="139" ht="15.75" customHeight="1">
      <c r="A139" s="3" t="s">
        <v>64</v>
      </c>
      <c r="B139" s="3" t="s">
        <v>9</v>
      </c>
      <c r="C139" s="3" t="s">
        <v>14</v>
      </c>
      <c r="D139" s="4">
        <v>45670.0</v>
      </c>
      <c r="E139" s="3">
        <v>68.0</v>
      </c>
      <c r="F139" s="5">
        <v>2.0</v>
      </c>
      <c r="G139" s="3">
        <v>4141.0</v>
      </c>
      <c r="H139" s="3" t="str">
        <f>VLOOKUP(B139,'Currency Table'!$M$3:$N$6,2, FALSE)</f>
        <v>PLN</v>
      </c>
      <c r="I139" s="3"/>
      <c r="J139" s="3"/>
      <c r="K139" s="3"/>
      <c r="L139" s="3"/>
      <c r="M139" s="3"/>
      <c r="N139" s="3"/>
      <c r="O139" s="7"/>
      <c r="P139" s="3"/>
      <c r="Q139" s="3"/>
      <c r="R139" s="3"/>
      <c r="S139" s="3"/>
      <c r="T139" s="3"/>
      <c r="U139" s="3"/>
      <c r="V139" s="3"/>
      <c r="W139" s="3"/>
    </row>
    <row r="140" ht="15.75" customHeight="1">
      <c r="A140" s="3" t="s">
        <v>106</v>
      </c>
      <c r="B140" s="3" t="s">
        <v>9</v>
      </c>
      <c r="C140" s="3" t="s">
        <v>30</v>
      </c>
      <c r="D140" s="4">
        <v>45670.0</v>
      </c>
      <c r="E140" s="3">
        <v>61.0</v>
      </c>
      <c r="F140" s="5">
        <v>4.0</v>
      </c>
      <c r="G140" s="3">
        <v>4166.0</v>
      </c>
      <c r="H140" s="3" t="str">
        <f>VLOOKUP(B140,'Currency Table'!$M$3:$N$6,2, FALSE)</f>
        <v>PLN</v>
      </c>
      <c r="I140" s="3"/>
      <c r="J140" s="3"/>
      <c r="K140" s="3"/>
      <c r="L140" s="3"/>
      <c r="M140" s="3"/>
      <c r="N140" s="3"/>
      <c r="O140" s="7"/>
      <c r="P140" s="3"/>
      <c r="Q140" s="3"/>
      <c r="R140" s="3"/>
      <c r="S140" s="3"/>
      <c r="T140" s="3"/>
      <c r="U140" s="3"/>
      <c r="V140" s="3"/>
      <c r="W140" s="3"/>
    </row>
    <row r="141" ht="15.75" customHeight="1">
      <c r="A141" s="3" t="s">
        <v>107</v>
      </c>
      <c r="B141" s="3" t="s">
        <v>9</v>
      </c>
      <c r="C141" s="3" t="s">
        <v>30</v>
      </c>
      <c r="D141" s="4">
        <v>45670.0</v>
      </c>
      <c r="E141" s="3">
        <v>26.0</v>
      </c>
      <c r="F141" s="5">
        <v>1.0</v>
      </c>
      <c r="G141" s="3">
        <v>1890.0</v>
      </c>
      <c r="H141" s="3" t="str">
        <f>VLOOKUP(B141,'Currency Table'!$M$3:$N$6,2, FALSE)</f>
        <v>PLN</v>
      </c>
      <c r="I141" s="3"/>
      <c r="J141" s="3"/>
      <c r="K141" s="3"/>
      <c r="L141" s="3"/>
      <c r="M141" s="3"/>
      <c r="N141" s="3"/>
      <c r="O141" s="7"/>
      <c r="P141" s="3"/>
      <c r="Q141" s="3"/>
      <c r="R141" s="3"/>
      <c r="S141" s="3"/>
      <c r="T141" s="3"/>
      <c r="U141" s="3"/>
      <c r="V141" s="3"/>
      <c r="W141" s="3"/>
    </row>
    <row r="142" ht="15.75" customHeight="1">
      <c r="A142" s="3" t="s">
        <v>24</v>
      </c>
      <c r="B142" s="3" t="s">
        <v>9</v>
      </c>
      <c r="C142" s="3" t="s">
        <v>23</v>
      </c>
      <c r="D142" s="4">
        <v>45670.0</v>
      </c>
      <c r="E142" s="3">
        <v>19.0</v>
      </c>
      <c r="F142" s="5">
        <v>2.0</v>
      </c>
      <c r="G142" s="3">
        <v>1890.0</v>
      </c>
      <c r="H142" s="3" t="str">
        <f>VLOOKUP(B142,'Currency Table'!$M$3:$N$6,2, FALSE)</f>
        <v>PLN</v>
      </c>
      <c r="I142" s="3"/>
      <c r="J142" s="3"/>
      <c r="K142" s="3"/>
      <c r="L142" s="3"/>
      <c r="M142" s="3"/>
      <c r="N142" s="3"/>
      <c r="O142" s="7"/>
      <c r="P142" s="3"/>
      <c r="Q142" s="3"/>
      <c r="R142" s="3"/>
      <c r="S142" s="3"/>
      <c r="T142" s="3"/>
      <c r="U142" s="3"/>
      <c r="V142" s="3"/>
      <c r="W142" s="3"/>
    </row>
    <row r="143" ht="15.75" customHeight="1">
      <c r="A143" s="3" t="s">
        <v>108</v>
      </c>
      <c r="B143" s="3" t="s">
        <v>9</v>
      </c>
      <c r="C143" s="3" t="s">
        <v>30</v>
      </c>
      <c r="D143" s="4">
        <v>45670.0</v>
      </c>
      <c r="E143" s="3">
        <v>52.0</v>
      </c>
      <c r="F143" s="5">
        <v>2.0</v>
      </c>
      <c r="G143" s="3">
        <v>3736.0</v>
      </c>
      <c r="H143" s="3" t="str">
        <f>VLOOKUP(B143,'Currency Table'!$M$3:$N$6,2, FALSE)</f>
        <v>PLN</v>
      </c>
      <c r="I143" s="3"/>
      <c r="J143" s="3"/>
      <c r="K143" s="3"/>
      <c r="L143" s="3"/>
      <c r="M143" s="3"/>
      <c r="N143" s="3"/>
      <c r="O143" s="7"/>
      <c r="P143" s="3"/>
      <c r="Q143" s="3"/>
      <c r="R143" s="3"/>
      <c r="S143" s="3"/>
      <c r="T143" s="3"/>
      <c r="U143" s="3"/>
      <c r="V143" s="3"/>
      <c r="W143" s="3"/>
    </row>
    <row r="144" ht="15.75" customHeight="1">
      <c r="A144" s="3" t="s">
        <v>76</v>
      </c>
      <c r="B144" s="3" t="s">
        <v>9</v>
      </c>
      <c r="C144" s="3" t="s">
        <v>14</v>
      </c>
      <c r="D144" s="4">
        <v>45670.0</v>
      </c>
      <c r="E144" s="3">
        <v>40.0</v>
      </c>
      <c r="F144" s="5">
        <v>5.0</v>
      </c>
      <c r="G144" s="3">
        <v>2690.0</v>
      </c>
      <c r="H144" s="3" t="str">
        <f>VLOOKUP(B144,'Currency Table'!$M$3:$N$6,2, FALSE)</f>
        <v>PLN</v>
      </c>
      <c r="I144" s="3"/>
      <c r="J144" s="3"/>
      <c r="K144" s="3"/>
      <c r="L144" s="3"/>
      <c r="M144" s="3"/>
      <c r="N144" s="3"/>
      <c r="O144" s="7"/>
      <c r="P144" s="3"/>
      <c r="Q144" s="3"/>
      <c r="R144" s="3"/>
      <c r="S144" s="3"/>
      <c r="T144" s="3"/>
      <c r="U144" s="3"/>
      <c r="V144" s="3"/>
      <c r="W144" s="3"/>
    </row>
    <row r="145" ht="15.75" customHeight="1">
      <c r="A145" s="3" t="s">
        <v>82</v>
      </c>
      <c r="B145" s="3" t="s">
        <v>9</v>
      </c>
      <c r="C145" s="3" t="s">
        <v>14</v>
      </c>
      <c r="D145" s="4">
        <v>45670.0</v>
      </c>
      <c r="E145" s="3">
        <v>23.0</v>
      </c>
      <c r="F145" s="5">
        <v>5.0</v>
      </c>
      <c r="G145" s="3">
        <v>1389.0</v>
      </c>
      <c r="H145" s="3" t="str">
        <f>VLOOKUP(B145,'Currency Table'!$M$3:$N$6,2, FALSE)</f>
        <v>PLN</v>
      </c>
      <c r="I145" s="3"/>
      <c r="J145" s="3"/>
      <c r="K145" s="3"/>
      <c r="L145" s="3"/>
      <c r="M145" s="3"/>
      <c r="N145" s="3"/>
      <c r="O145" s="7"/>
      <c r="P145" s="3"/>
      <c r="Q145" s="3"/>
      <c r="R145" s="3"/>
      <c r="S145" s="3"/>
      <c r="T145" s="3"/>
      <c r="U145" s="3"/>
      <c r="V145" s="3"/>
      <c r="W145" s="3"/>
    </row>
    <row r="146" ht="15.75" customHeight="1">
      <c r="A146" s="3" t="s">
        <v>31</v>
      </c>
      <c r="B146" s="3" t="s">
        <v>9</v>
      </c>
      <c r="C146" s="3" t="s">
        <v>12</v>
      </c>
      <c r="D146" s="4">
        <v>45670.0</v>
      </c>
      <c r="E146" s="3">
        <v>40.0</v>
      </c>
      <c r="F146" s="5">
        <v>0.0</v>
      </c>
      <c r="G146" s="3">
        <v>2809.0</v>
      </c>
      <c r="H146" s="3" t="str">
        <f>VLOOKUP(B146,'Currency Table'!$M$3:$N$6,2, FALSE)</f>
        <v>PLN</v>
      </c>
      <c r="I146" s="3"/>
      <c r="J146" s="3"/>
      <c r="K146" s="3"/>
      <c r="L146" s="3"/>
      <c r="M146" s="3"/>
      <c r="N146" s="3"/>
      <c r="O146" s="7"/>
      <c r="P146" s="3"/>
      <c r="Q146" s="3"/>
      <c r="R146" s="3"/>
      <c r="S146" s="3"/>
      <c r="T146" s="3"/>
      <c r="U146" s="3"/>
      <c r="V146" s="3"/>
      <c r="W146" s="3"/>
    </row>
    <row r="147" ht="15.75" customHeight="1">
      <c r="A147" s="3" t="s">
        <v>41</v>
      </c>
      <c r="B147" s="3" t="s">
        <v>9</v>
      </c>
      <c r="C147" s="3" t="s">
        <v>10</v>
      </c>
      <c r="D147" s="4">
        <v>45670.0</v>
      </c>
      <c r="E147" s="3">
        <v>16.0</v>
      </c>
      <c r="F147" s="5">
        <v>4.0</v>
      </c>
      <c r="G147" s="3">
        <v>1395.0</v>
      </c>
      <c r="H147" s="3" t="str">
        <f>VLOOKUP(B147,'Currency Table'!$M$3:$N$6,2, FALSE)</f>
        <v>PLN</v>
      </c>
      <c r="I147" s="3"/>
      <c r="J147" s="3"/>
      <c r="K147" s="3"/>
      <c r="L147" s="3"/>
      <c r="M147" s="3"/>
      <c r="N147" s="3"/>
      <c r="O147" s="7"/>
      <c r="P147" s="3"/>
      <c r="Q147" s="3"/>
      <c r="R147" s="3"/>
      <c r="S147" s="3"/>
      <c r="T147" s="3"/>
      <c r="U147" s="3"/>
      <c r="V147" s="3"/>
      <c r="W147" s="3"/>
    </row>
    <row r="148" ht="15.75" customHeight="1">
      <c r="A148" s="3" t="s">
        <v>27</v>
      </c>
      <c r="B148" s="3" t="s">
        <v>9</v>
      </c>
      <c r="C148" s="3" t="s">
        <v>23</v>
      </c>
      <c r="D148" s="4">
        <v>45670.0</v>
      </c>
      <c r="E148" s="3">
        <v>40.0</v>
      </c>
      <c r="F148" s="5">
        <v>5.0</v>
      </c>
      <c r="G148" s="3">
        <v>2996.0</v>
      </c>
      <c r="H148" s="3" t="str">
        <f>VLOOKUP(B148,'Currency Table'!$M$3:$N$6,2, FALSE)</f>
        <v>PLN</v>
      </c>
      <c r="I148" s="3"/>
      <c r="J148" s="3"/>
      <c r="K148" s="3"/>
      <c r="L148" s="3"/>
      <c r="M148" s="3"/>
      <c r="N148" s="3"/>
      <c r="O148" s="7"/>
      <c r="P148" s="3"/>
      <c r="Q148" s="3"/>
      <c r="R148" s="3"/>
      <c r="S148" s="3"/>
      <c r="T148" s="3"/>
      <c r="U148" s="3"/>
      <c r="V148" s="3"/>
      <c r="W148" s="3"/>
    </row>
    <row r="149" ht="15.75" customHeight="1">
      <c r="A149" s="3" t="s">
        <v>56</v>
      </c>
      <c r="B149" s="3" t="s">
        <v>9</v>
      </c>
      <c r="C149" s="3" t="s">
        <v>10</v>
      </c>
      <c r="D149" s="4">
        <v>45670.0</v>
      </c>
      <c r="E149" s="3">
        <v>55.0</v>
      </c>
      <c r="F149" s="5">
        <v>2.0</v>
      </c>
      <c r="G149" s="3">
        <v>3573.0</v>
      </c>
      <c r="H149" s="3" t="str">
        <f>VLOOKUP(B149,'Currency Table'!$M$3:$N$6,2, FALSE)</f>
        <v>PLN</v>
      </c>
      <c r="I149" s="3"/>
      <c r="J149" s="3"/>
      <c r="K149" s="3"/>
      <c r="L149" s="3"/>
      <c r="M149" s="3"/>
      <c r="N149" s="3"/>
      <c r="O149" s="7"/>
      <c r="P149" s="3"/>
      <c r="Q149" s="3"/>
      <c r="R149" s="3"/>
      <c r="S149" s="3"/>
      <c r="T149" s="3"/>
      <c r="U149" s="3"/>
      <c r="V149" s="3"/>
      <c r="W149" s="3"/>
    </row>
    <row r="150" ht="15.75" customHeight="1">
      <c r="A150" s="3" t="s">
        <v>52</v>
      </c>
      <c r="B150" s="3" t="s">
        <v>9</v>
      </c>
      <c r="C150" s="3" t="s">
        <v>16</v>
      </c>
      <c r="D150" s="4">
        <v>45670.0</v>
      </c>
      <c r="E150" s="3">
        <v>34.0</v>
      </c>
      <c r="F150" s="5">
        <v>3.0</v>
      </c>
      <c r="G150" s="3">
        <v>2259.0</v>
      </c>
      <c r="H150" s="3" t="str">
        <f>VLOOKUP(B150,'Currency Table'!$M$3:$N$6,2, FALSE)</f>
        <v>PLN</v>
      </c>
      <c r="I150" s="3"/>
      <c r="J150" s="3"/>
      <c r="K150" s="3"/>
      <c r="L150" s="3"/>
      <c r="M150" s="3"/>
      <c r="N150" s="3"/>
      <c r="O150" s="7"/>
      <c r="P150" s="3"/>
      <c r="Q150" s="3"/>
      <c r="R150" s="3"/>
      <c r="S150" s="3"/>
      <c r="T150" s="3"/>
      <c r="U150" s="3"/>
      <c r="V150" s="3"/>
      <c r="W150" s="3"/>
    </row>
    <row r="151" ht="15.75" customHeight="1">
      <c r="A151" s="3" t="s">
        <v>115</v>
      </c>
      <c r="B151" s="3" t="s">
        <v>9</v>
      </c>
      <c r="C151" s="3" t="s">
        <v>30</v>
      </c>
      <c r="D151" s="4">
        <v>45670.0</v>
      </c>
      <c r="E151" s="3">
        <v>43.0</v>
      </c>
      <c r="F151" s="5">
        <v>0.0</v>
      </c>
      <c r="G151" s="3">
        <v>2509.0</v>
      </c>
      <c r="H151" s="3" t="str">
        <f>VLOOKUP(B151,'Currency Table'!$M$3:$N$6,2, FALSE)</f>
        <v>PLN</v>
      </c>
      <c r="I151" s="3"/>
      <c r="J151" s="3"/>
      <c r="K151" s="3"/>
      <c r="L151" s="3"/>
      <c r="M151" s="3"/>
      <c r="N151" s="3"/>
      <c r="O151" s="7"/>
      <c r="P151" s="3"/>
      <c r="Q151" s="3"/>
      <c r="R151" s="3"/>
      <c r="S151" s="3"/>
      <c r="T151" s="3"/>
      <c r="U151" s="3"/>
      <c r="V151" s="3"/>
      <c r="W151" s="3"/>
    </row>
    <row r="152" ht="15.75" customHeight="1">
      <c r="A152" s="3" t="s">
        <v>86</v>
      </c>
      <c r="B152" s="3" t="s">
        <v>9</v>
      </c>
      <c r="C152" s="3" t="s">
        <v>14</v>
      </c>
      <c r="D152" s="4">
        <v>45670.0</v>
      </c>
      <c r="E152" s="3">
        <v>56.0</v>
      </c>
      <c r="F152" s="5">
        <v>3.0</v>
      </c>
      <c r="G152" s="3">
        <v>3648.0</v>
      </c>
      <c r="H152" s="3" t="str">
        <f>VLOOKUP(B152,'Currency Table'!$M$3:$N$6,2, FALSE)</f>
        <v>PLN</v>
      </c>
      <c r="I152" s="3"/>
      <c r="J152" s="3"/>
      <c r="K152" s="3"/>
      <c r="L152" s="3"/>
      <c r="M152" s="3"/>
      <c r="N152" s="3"/>
      <c r="O152" s="7"/>
      <c r="P152" s="3"/>
      <c r="Q152" s="3"/>
      <c r="R152" s="3"/>
      <c r="S152" s="3"/>
      <c r="T152" s="3"/>
      <c r="U152" s="3"/>
      <c r="V152" s="3"/>
      <c r="W152" s="3"/>
    </row>
    <row r="153" ht="15.75" customHeight="1">
      <c r="A153" s="3" t="s">
        <v>72</v>
      </c>
      <c r="B153" s="3" t="s">
        <v>9</v>
      </c>
      <c r="C153" s="3" t="s">
        <v>10</v>
      </c>
      <c r="D153" s="4">
        <v>45670.0</v>
      </c>
      <c r="E153" s="3">
        <v>52.0</v>
      </c>
      <c r="F153" s="5">
        <v>4.0</v>
      </c>
      <c r="G153" s="3">
        <v>3573.0</v>
      </c>
      <c r="H153" s="3" t="str">
        <f>VLOOKUP(B153,'Currency Table'!$M$3:$N$6,2, FALSE)</f>
        <v>PLN</v>
      </c>
      <c r="I153" s="3"/>
      <c r="J153" s="3"/>
      <c r="K153" s="3"/>
      <c r="L153" s="3"/>
      <c r="M153" s="3"/>
      <c r="N153" s="3"/>
      <c r="O153" s="7"/>
      <c r="P153" s="3"/>
      <c r="Q153" s="3"/>
      <c r="R153" s="3"/>
      <c r="S153" s="3"/>
      <c r="T153" s="3"/>
      <c r="U153" s="3"/>
      <c r="V153" s="3"/>
      <c r="W153" s="3"/>
    </row>
    <row r="154" ht="15.75" customHeight="1">
      <c r="A154" s="3" t="s">
        <v>54</v>
      </c>
      <c r="B154" s="3" t="s">
        <v>9</v>
      </c>
      <c r="C154" s="3" t="s">
        <v>16</v>
      </c>
      <c r="D154" s="4">
        <v>45670.0</v>
      </c>
      <c r="E154" s="3">
        <v>39.0</v>
      </c>
      <c r="F154" s="5">
        <v>0.0</v>
      </c>
      <c r="G154" s="3">
        <v>2472.0</v>
      </c>
      <c r="H154" s="3" t="str">
        <f>VLOOKUP(B154,'Currency Table'!$M$3:$N$6,2, FALSE)</f>
        <v>PLN</v>
      </c>
      <c r="I154" s="3"/>
      <c r="J154" s="3"/>
      <c r="K154" s="3"/>
      <c r="L154" s="3"/>
      <c r="M154" s="3"/>
      <c r="N154" s="3"/>
      <c r="O154" s="7"/>
      <c r="P154" s="3"/>
      <c r="Q154" s="3"/>
      <c r="R154" s="3"/>
      <c r="S154" s="3"/>
      <c r="T154" s="3"/>
      <c r="U154" s="3"/>
      <c r="V154" s="3"/>
      <c r="W154" s="3"/>
    </row>
    <row r="155" ht="15.75" customHeight="1">
      <c r="A155" s="3" t="s">
        <v>55</v>
      </c>
      <c r="B155" s="3" t="s">
        <v>9</v>
      </c>
      <c r="C155" s="3" t="s">
        <v>16</v>
      </c>
      <c r="D155" s="4">
        <v>45670.0</v>
      </c>
      <c r="E155" s="3">
        <v>64.0</v>
      </c>
      <c r="F155" s="5">
        <v>0.0</v>
      </c>
      <c r="G155" s="3">
        <v>4296.0</v>
      </c>
      <c r="H155" s="3" t="str">
        <f>VLOOKUP(B155,'Currency Table'!$M$3:$N$6,2, FALSE)</f>
        <v>PLN</v>
      </c>
      <c r="I155" s="3"/>
      <c r="J155" s="3"/>
      <c r="K155" s="3"/>
      <c r="L155" s="3"/>
      <c r="M155" s="3"/>
      <c r="N155" s="3"/>
      <c r="O155" s="7"/>
      <c r="P155" s="3"/>
      <c r="Q155" s="3"/>
      <c r="R155" s="3"/>
      <c r="S155" s="3"/>
      <c r="T155" s="3"/>
      <c r="U155" s="3"/>
      <c r="V155" s="3"/>
      <c r="W155" s="3"/>
    </row>
    <row r="156" ht="15.75" customHeight="1">
      <c r="A156" s="3" t="s">
        <v>58</v>
      </c>
      <c r="B156" s="3" t="s">
        <v>9</v>
      </c>
      <c r="C156" s="3" t="s">
        <v>16</v>
      </c>
      <c r="D156" s="4">
        <v>45670.0</v>
      </c>
      <c r="E156" s="3">
        <v>30.0</v>
      </c>
      <c r="F156" s="5">
        <v>0.0</v>
      </c>
      <c r="G156" s="3">
        <v>1039.0</v>
      </c>
      <c r="H156" s="3" t="str">
        <f>VLOOKUP(B156,'Currency Table'!$M$3:$N$6,2, FALSE)</f>
        <v>PLN</v>
      </c>
      <c r="I156" s="3"/>
      <c r="J156" s="3"/>
      <c r="K156" s="3"/>
      <c r="L156" s="3"/>
      <c r="M156" s="3"/>
      <c r="N156" s="3"/>
      <c r="O156" s="7"/>
      <c r="P156" s="3"/>
      <c r="Q156" s="3"/>
      <c r="R156" s="3"/>
      <c r="S156" s="3"/>
      <c r="T156" s="3"/>
      <c r="U156" s="3"/>
      <c r="V156" s="3"/>
      <c r="W156" s="3"/>
    </row>
    <row r="157" ht="15.75" customHeight="1">
      <c r="A157" s="3" t="s">
        <v>116</v>
      </c>
      <c r="B157" s="3" t="s">
        <v>9</v>
      </c>
      <c r="C157" s="3" t="s">
        <v>30</v>
      </c>
      <c r="D157" s="4">
        <v>45670.0</v>
      </c>
      <c r="E157" s="3">
        <v>25.0</v>
      </c>
      <c r="F157" s="5">
        <v>2.0</v>
      </c>
      <c r="G157" s="3">
        <v>1558.0</v>
      </c>
      <c r="H157" s="3" t="str">
        <f>VLOOKUP(B157,'Currency Table'!$M$3:$N$6,2, FALSE)</f>
        <v>PLN</v>
      </c>
      <c r="I157" s="3"/>
      <c r="J157" s="3"/>
      <c r="K157" s="3"/>
      <c r="L157" s="3"/>
      <c r="M157" s="3"/>
      <c r="N157" s="3"/>
      <c r="O157" s="7"/>
      <c r="P157" s="3"/>
      <c r="Q157" s="3"/>
      <c r="R157" s="3"/>
      <c r="S157" s="3"/>
      <c r="T157" s="3"/>
      <c r="U157" s="3"/>
      <c r="V157" s="3"/>
      <c r="W157" s="3"/>
    </row>
    <row r="158" ht="15.75" customHeight="1">
      <c r="A158" s="3" t="s">
        <v>40</v>
      </c>
      <c r="B158" s="3" t="s">
        <v>9</v>
      </c>
      <c r="C158" s="3" t="s">
        <v>12</v>
      </c>
      <c r="D158" s="4">
        <v>45670.0</v>
      </c>
      <c r="E158" s="3">
        <v>37.0</v>
      </c>
      <c r="F158" s="5">
        <v>0.0</v>
      </c>
      <c r="G158" s="3">
        <v>2587.0</v>
      </c>
      <c r="H158" s="3" t="str">
        <f>VLOOKUP(B158,'Currency Table'!$M$3:$N$6,2, FALSE)</f>
        <v>PLN</v>
      </c>
      <c r="I158" s="3"/>
      <c r="J158" s="3"/>
      <c r="K158" s="3"/>
      <c r="L158" s="3"/>
      <c r="M158" s="3"/>
      <c r="N158" s="3"/>
      <c r="O158" s="7"/>
      <c r="P158" s="3"/>
      <c r="Q158" s="3"/>
      <c r="R158" s="3"/>
      <c r="S158" s="3"/>
      <c r="T158" s="3"/>
      <c r="U158" s="3"/>
      <c r="V158" s="3"/>
      <c r="W158" s="3"/>
    </row>
    <row r="159" ht="15.75" customHeight="1">
      <c r="A159" s="3" t="s">
        <v>29</v>
      </c>
      <c r="B159" s="3" t="s">
        <v>9</v>
      </c>
      <c r="C159" s="3" t="s">
        <v>30</v>
      </c>
      <c r="D159" s="4">
        <v>45684.0</v>
      </c>
      <c r="E159" s="3">
        <v>19.0</v>
      </c>
      <c r="F159" s="5">
        <v>3.0</v>
      </c>
      <c r="G159" s="3">
        <v>1278.0</v>
      </c>
      <c r="H159" s="3" t="str">
        <f>VLOOKUP(B159,'Currency Table'!$M$3:$N$6,2, FALSE)</f>
        <v>PLN</v>
      </c>
      <c r="I159" s="3"/>
      <c r="J159" s="3"/>
      <c r="K159" s="3"/>
      <c r="L159" s="3"/>
      <c r="M159" s="3"/>
      <c r="N159" s="3"/>
      <c r="O159" s="7"/>
      <c r="P159" s="3"/>
      <c r="Q159" s="3"/>
      <c r="R159" s="3"/>
      <c r="S159" s="3"/>
      <c r="T159" s="3"/>
      <c r="U159" s="3"/>
      <c r="V159" s="3"/>
      <c r="W159" s="3"/>
    </row>
    <row r="160" ht="15.75" customHeight="1">
      <c r="A160" s="3" t="s">
        <v>77</v>
      </c>
      <c r="B160" s="3" t="s">
        <v>9</v>
      </c>
      <c r="C160" s="3" t="s">
        <v>10</v>
      </c>
      <c r="D160" s="4">
        <v>45670.0</v>
      </c>
      <c r="E160" s="3">
        <v>60.0</v>
      </c>
      <c r="F160" s="5">
        <v>4.0</v>
      </c>
      <c r="G160" s="3">
        <v>3460.0</v>
      </c>
      <c r="H160" s="3" t="str">
        <f>VLOOKUP(B160,'Currency Table'!$M$3:$N$6,2, FALSE)</f>
        <v>PLN</v>
      </c>
      <c r="I160" s="3"/>
      <c r="J160" s="3"/>
      <c r="K160" s="3"/>
      <c r="L160" s="3"/>
      <c r="M160" s="3"/>
      <c r="N160" s="3"/>
      <c r="O160" s="7"/>
      <c r="P160" s="3"/>
      <c r="Q160" s="3"/>
      <c r="R160" s="3"/>
      <c r="S160" s="3"/>
      <c r="T160" s="3"/>
      <c r="U160" s="3"/>
      <c r="V160" s="3"/>
      <c r="W160" s="3"/>
    </row>
    <row r="161" ht="15.75" customHeight="1">
      <c r="A161" s="3" t="s">
        <v>99</v>
      </c>
      <c r="B161" s="3" t="s">
        <v>9</v>
      </c>
      <c r="C161" s="3" t="s">
        <v>14</v>
      </c>
      <c r="D161" s="4">
        <v>45670.0</v>
      </c>
      <c r="E161" s="3">
        <v>21.0</v>
      </c>
      <c r="F161" s="5">
        <v>0.0</v>
      </c>
      <c r="G161" s="3">
        <v>1875.0</v>
      </c>
      <c r="H161" s="3" t="str">
        <f>VLOOKUP(B161,'Currency Table'!$M$3:$N$6,2, FALSE)</f>
        <v>PLN</v>
      </c>
      <c r="I161" s="3"/>
      <c r="J161" s="3"/>
      <c r="K161" s="3"/>
      <c r="L161" s="3"/>
      <c r="M161" s="3"/>
      <c r="N161" s="3"/>
      <c r="O161" s="7"/>
      <c r="P161" s="3"/>
      <c r="Q161" s="3"/>
      <c r="R161" s="3"/>
      <c r="S161" s="3"/>
      <c r="T161" s="3"/>
      <c r="U161" s="3"/>
      <c r="V161" s="3"/>
      <c r="W161" s="3"/>
    </row>
    <row r="162" ht="15.75" customHeight="1">
      <c r="A162" s="3" t="s">
        <v>104</v>
      </c>
      <c r="B162" s="3" t="s">
        <v>9</v>
      </c>
      <c r="C162" s="3" t="s">
        <v>14</v>
      </c>
      <c r="D162" s="4">
        <v>45670.0</v>
      </c>
      <c r="E162" s="3">
        <v>34.0</v>
      </c>
      <c r="F162" s="5">
        <v>0.0</v>
      </c>
      <c r="G162" s="3">
        <v>2075.0</v>
      </c>
      <c r="H162" s="3" t="str">
        <f>VLOOKUP(B162,'Currency Table'!$M$3:$N$6,2, FALSE)</f>
        <v>PLN</v>
      </c>
      <c r="I162" s="3"/>
      <c r="J162" s="3"/>
      <c r="K162" s="3"/>
      <c r="L162" s="3"/>
      <c r="M162" s="3"/>
      <c r="N162" s="3"/>
      <c r="O162" s="7"/>
      <c r="P162" s="3"/>
      <c r="Q162" s="3"/>
      <c r="R162" s="3"/>
      <c r="S162" s="3"/>
      <c r="T162" s="3"/>
      <c r="U162" s="3"/>
      <c r="V162" s="3"/>
      <c r="W162" s="3"/>
    </row>
    <row r="163" ht="15.75" customHeight="1">
      <c r="A163" s="3" t="s">
        <v>42</v>
      </c>
      <c r="B163" s="3" t="s">
        <v>9</v>
      </c>
      <c r="C163" s="3" t="s">
        <v>23</v>
      </c>
      <c r="D163" s="4">
        <v>45670.0</v>
      </c>
      <c r="E163" s="3">
        <v>19.0</v>
      </c>
      <c r="F163" s="5">
        <v>3.0</v>
      </c>
      <c r="G163" s="3">
        <v>1852.0</v>
      </c>
      <c r="H163" s="3" t="str">
        <f>VLOOKUP(B163,'Currency Table'!$M$3:$N$6,2, FALSE)</f>
        <v>PLN</v>
      </c>
      <c r="I163" s="3"/>
      <c r="J163" s="3"/>
      <c r="K163" s="3"/>
      <c r="L163" s="3"/>
      <c r="M163" s="3"/>
      <c r="N163" s="3"/>
      <c r="O163" s="7"/>
      <c r="P163" s="3"/>
      <c r="Q163" s="3"/>
      <c r="R163" s="3"/>
      <c r="S163" s="3"/>
      <c r="T163" s="3"/>
      <c r="U163" s="3"/>
      <c r="V163" s="3"/>
      <c r="W163" s="3"/>
    </row>
    <row r="164" ht="15.75" customHeight="1">
      <c r="A164" s="3" t="s">
        <v>36</v>
      </c>
      <c r="B164" s="3" t="s">
        <v>9</v>
      </c>
      <c r="C164" s="3" t="s">
        <v>30</v>
      </c>
      <c r="D164" s="4">
        <v>45684.0</v>
      </c>
      <c r="E164" s="3">
        <v>12.0</v>
      </c>
      <c r="F164" s="5">
        <v>1.0</v>
      </c>
      <c r="G164" s="3">
        <v>839.0</v>
      </c>
      <c r="H164" s="3" t="str">
        <f>VLOOKUP(B164,'Currency Table'!$M$3:$N$6,2, FALSE)</f>
        <v>PLN</v>
      </c>
      <c r="I164" s="3"/>
      <c r="J164" s="3"/>
      <c r="K164" s="3"/>
      <c r="L164" s="3"/>
      <c r="M164" s="3"/>
      <c r="N164" s="3"/>
      <c r="O164" s="7"/>
      <c r="P164" s="3"/>
      <c r="Q164" s="3"/>
      <c r="R164" s="3"/>
      <c r="S164" s="3"/>
      <c r="T164" s="3"/>
      <c r="U164" s="3"/>
      <c r="V164" s="3"/>
      <c r="W164" s="3"/>
    </row>
    <row r="165" ht="15.75" customHeight="1">
      <c r="A165" s="3" t="s">
        <v>105</v>
      </c>
      <c r="B165" s="3" t="s">
        <v>9</v>
      </c>
      <c r="C165" s="3" t="s">
        <v>14</v>
      </c>
      <c r="D165" s="4">
        <v>45670.0</v>
      </c>
      <c r="E165" s="3">
        <v>46.0</v>
      </c>
      <c r="F165" s="5">
        <v>5.0</v>
      </c>
      <c r="G165" s="3">
        <v>3199.0</v>
      </c>
      <c r="H165" s="3" t="str">
        <f>VLOOKUP(B165,'Currency Table'!$M$3:$N$6,2, FALSE)</f>
        <v>PLN</v>
      </c>
      <c r="I165" s="3"/>
      <c r="J165" s="3"/>
      <c r="K165" s="3"/>
      <c r="L165" s="3"/>
      <c r="M165" s="3"/>
      <c r="N165" s="3"/>
      <c r="O165" s="7"/>
      <c r="P165" s="3"/>
      <c r="Q165" s="3"/>
      <c r="R165" s="3"/>
      <c r="S165" s="3"/>
      <c r="T165" s="3"/>
      <c r="U165" s="3"/>
      <c r="V165" s="3"/>
      <c r="W165" s="3"/>
    </row>
    <row r="166" ht="15.75" customHeight="1">
      <c r="A166" s="3" t="s">
        <v>93</v>
      </c>
      <c r="B166" s="3" t="s">
        <v>9</v>
      </c>
      <c r="C166" s="3" t="s">
        <v>10</v>
      </c>
      <c r="D166" s="4">
        <v>45670.0</v>
      </c>
      <c r="E166" s="3">
        <v>38.0</v>
      </c>
      <c r="F166" s="5">
        <v>5.0</v>
      </c>
      <c r="G166" s="3">
        <v>2787.0</v>
      </c>
      <c r="H166" s="3" t="str">
        <f>VLOOKUP(B166,'Currency Table'!$M$3:$N$6,2, FALSE)</f>
        <v>PLN</v>
      </c>
      <c r="I166" s="3"/>
      <c r="J166" s="3"/>
      <c r="K166" s="3"/>
      <c r="L166" s="3"/>
      <c r="M166" s="3"/>
      <c r="N166" s="3"/>
      <c r="O166" s="7"/>
      <c r="P166" s="3"/>
      <c r="Q166" s="3"/>
      <c r="R166" s="3"/>
      <c r="S166" s="3"/>
      <c r="T166" s="3"/>
      <c r="U166" s="3"/>
      <c r="V166" s="3"/>
      <c r="W166" s="3"/>
    </row>
    <row r="167" ht="15.75" customHeight="1">
      <c r="A167" s="3" t="s">
        <v>71</v>
      </c>
      <c r="B167" s="3" t="s">
        <v>9</v>
      </c>
      <c r="C167" s="3" t="s">
        <v>16</v>
      </c>
      <c r="D167" s="4">
        <v>45670.0</v>
      </c>
      <c r="E167" s="3">
        <v>45.0</v>
      </c>
      <c r="F167" s="5">
        <v>1.0</v>
      </c>
      <c r="G167" s="3">
        <v>2005.0</v>
      </c>
      <c r="H167" s="3" t="str">
        <f>VLOOKUP(B167,'Currency Table'!$M$3:$N$6,2, FALSE)</f>
        <v>PLN</v>
      </c>
      <c r="I167" s="3"/>
      <c r="J167" s="3"/>
      <c r="K167" s="3"/>
      <c r="L167" s="3"/>
      <c r="M167" s="3"/>
      <c r="N167" s="3"/>
      <c r="O167" s="7"/>
      <c r="P167" s="3"/>
      <c r="Q167" s="3"/>
      <c r="R167" s="3"/>
      <c r="S167" s="3"/>
      <c r="T167" s="3"/>
      <c r="U167" s="3"/>
      <c r="V167" s="3"/>
      <c r="W167" s="3"/>
    </row>
    <row r="168" ht="15.75" customHeight="1">
      <c r="A168" s="3" t="s">
        <v>113</v>
      </c>
      <c r="B168" s="3" t="s">
        <v>9</v>
      </c>
      <c r="C168" s="3" t="s">
        <v>10</v>
      </c>
      <c r="D168" s="4">
        <v>45670.0</v>
      </c>
      <c r="E168" s="3">
        <v>51.0</v>
      </c>
      <c r="F168" s="5">
        <v>2.0</v>
      </c>
      <c r="G168" s="3">
        <v>3179.0</v>
      </c>
      <c r="H168" s="3" t="str">
        <f>VLOOKUP(B168,'Currency Table'!$M$3:$N$6,2, FALSE)</f>
        <v>PLN</v>
      </c>
      <c r="I168" s="3"/>
      <c r="J168" s="3"/>
      <c r="K168" s="3"/>
      <c r="L168" s="3"/>
      <c r="M168" s="3"/>
      <c r="N168" s="3"/>
      <c r="O168" s="7"/>
      <c r="P168" s="3"/>
      <c r="Q168" s="3"/>
      <c r="R168" s="3"/>
      <c r="S168" s="3"/>
      <c r="T168" s="3"/>
      <c r="U168" s="3"/>
      <c r="V168" s="3"/>
      <c r="W168" s="3"/>
    </row>
    <row r="169" ht="15.75" customHeight="1">
      <c r="A169" s="3" t="s">
        <v>74</v>
      </c>
      <c r="B169" s="3" t="s">
        <v>9</v>
      </c>
      <c r="C169" s="3" t="s">
        <v>16</v>
      </c>
      <c r="D169" s="4">
        <v>45670.0</v>
      </c>
      <c r="E169" s="3">
        <v>36.0</v>
      </c>
      <c r="F169" s="5">
        <v>1.0</v>
      </c>
      <c r="G169" s="3">
        <v>2267.0</v>
      </c>
      <c r="H169" s="3" t="str">
        <f>VLOOKUP(B169,'Currency Table'!$M$3:$N$6,2, FALSE)</f>
        <v>PLN</v>
      </c>
      <c r="I169" s="3"/>
      <c r="J169" s="3"/>
      <c r="K169" s="3"/>
      <c r="L169" s="3"/>
      <c r="M169" s="3"/>
      <c r="N169" s="3"/>
      <c r="O169" s="7"/>
      <c r="P169" s="3"/>
      <c r="Q169" s="3"/>
      <c r="R169" s="3"/>
      <c r="S169" s="3"/>
      <c r="T169" s="3"/>
      <c r="U169" s="3"/>
      <c r="V169" s="3"/>
      <c r="W169" s="3"/>
    </row>
    <row r="170" ht="15.75" customHeight="1">
      <c r="A170" s="3" t="s">
        <v>112</v>
      </c>
      <c r="B170" s="3" t="s">
        <v>9</v>
      </c>
      <c r="C170" s="3" t="s">
        <v>14</v>
      </c>
      <c r="D170" s="4">
        <v>45670.0</v>
      </c>
      <c r="E170" s="3">
        <v>37.0</v>
      </c>
      <c r="F170" s="5">
        <v>3.0</v>
      </c>
      <c r="G170" s="3">
        <v>2928.0</v>
      </c>
      <c r="H170" s="3" t="str">
        <f>VLOOKUP(B170,'Currency Table'!$M$3:$N$6,2, FALSE)</f>
        <v>PLN</v>
      </c>
      <c r="I170" s="3"/>
      <c r="J170" s="3"/>
      <c r="K170" s="3"/>
      <c r="L170" s="3"/>
      <c r="M170" s="3"/>
      <c r="N170" s="3"/>
      <c r="O170" s="7"/>
      <c r="P170" s="3"/>
      <c r="Q170" s="3"/>
      <c r="R170" s="3"/>
      <c r="S170" s="3"/>
      <c r="T170" s="3"/>
      <c r="U170" s="3"/>
      <c r="V170" s="3"/>
      <c r="W170" s="3"/>
    </row>
    <row r="171" ht="15.75" customHeight="1">
      <c r="A171" s="3" t="s">
        <v>79</v>
      </c>
      <c r="B171" s="3" t="s">
        <v>9</v>
      </c>
      <c r="C171" s="3" t="s">
        <v>16</v>
      </c>
      <c r="D171" s="4">
        <v>45670.0</v>
      </c>
      <c r="E171" s="3">
        <v>12.0</v>
      </c>
      <c r="F171" s="5">
        <v>2.0</v>
      </c>
      <c r="G171" s="3">
        <v>837.0</v>
      </c>
      <c r="H171" s="3" t="str">
        <f>VLOOKUP(B171,'Currency Table'!$M$3:$N$6,2, FALSE)</f>
        <v>PLN</v>
      </c>
      <c r="I171" s="3"/>
      <c r="J171" s="3"/>
      <c r="K171" s="3"/>
      <c r="L171" s="3"/>
      <c r="M171" s="3"/>
      <c r="N171" s="3"/>
      <c r="O171" s="7"/>
      <c r="P171" s="3"/>
      <c r="Q171" s="3"/>
      <c r="R171" s="3"/>
      <c r="S171" s="3"/>
      <c r="T171" s="3"/>
      <c r="U171" s="3"/>
      <c r="V171" s="3"/>
      <c r="W171" s="3"/>
    </row>
    <row r="172" ht="15.75" customHeight="1">
      <c r="A172" s="3" t="s">
        <v>45</v>
      </c>
      <c r="B172" s="3" t="s">
        <v>9</v>
      </c>
      <c r="C172" s="3" t="s">
        <v>30</v>
      </c>
      <c r="D172" s="4">
        <v>45684.0</v>
      </c>
      <c r="E172" s="3">
        <v>64.0</v>
      </c>
      <c r="F172" s="5">
        <v>5.0</v>
      </c>
      <c r="G172" s="3">
        <v>4024.0</v>
      </c>
      <c r="H172" s="3" t="str">
        <f>VLOOKUP(B172,'Currency Table'!$M$3:$N$6,2, FALSE)</f>
        <v>PLN</v>
      </c>
      <c r="I172" s="3"/>
      <c r="J172" s="3"/>
      <c r="K172" s="3"/>
      <c r="L172" s="3"/>
      <c r="M172" s="3"/>
      <c r="N172" s="3"/>
      <c r="O172" s="7"/>
      <c r="P172" s="3"/>
      <c r="Q172" s="3"/>
      <c r="R172" s="3"/>
      <c r="S172" s="3"/>
      <c r="T172" s="3"/>
      <c r="U172" s="3"/>
      <c r="V172" s="3"/>
      <c r="W172" s="3"/>
    </row>
    <row r="173" ht="15.75" customHeight="1">
      <c r="A173" s="3" t="s">
        <v>46</v>
      </c>
      <c r="B173" s="3" t="s">
        <v>9</v>
      </c>
      <c r="C173" s="3" t="s">
        <v>30</v>
      </c>
      <c r="D173" s="4">
        <v>45684.0</v>
      </c>
      <c r="E173" s="3">
        <v>20.0</v>
      </c>
      <c r="F173" s="5">
        <v>4.0</v>
      </c>
      <c r="G173" s="3">
        <v>1402.0</v>
      </c>
      <c r="H173" s="3" t="str">
        <f>VLOOKUP(B173,'Currency Table'!$M$3:$N$6,2, FALSE)</f>
        <v>PLN</v>
      </c>
      <c r="I173" s="3"/>
      <c r="J173" s="3"/>
      <c r="K173" s="3"/>
      <c r="L173" s="3"/>
      <c r="M173" s="3"/>
      <c r="N173" s="3"/>
      <c r="O173" s="7"/>
      <c r="P173" s="3"/>
      <c r="Q173" s="3"/>
      <c r="R173" s="3"/>
      <c r="S173" s="3"/>
      <c r="T173" s="3"/>
      <c r="U173" s="3"/>
      <c r="V173" s="3"/>
      <c r="W173" s="3"/>
    </row>
    <row r="174" ht="15.75" customHeight="1">
      <c r="A174" s="3" t="s">
        <v>117</v>
      </c>
      <c r="B174" s="3" t="s">
        <v>9</v>
      </c>
      <c r="C174" s="3" t="s">
        <v>10</v>
      </c>
      <c r="D174" s="4">
        <v>45670.0</v>
      </c>
      <c r="E174" s="3">
        <v>44.0</v>
      </c>
      <c r="F174" s="5">
        <v>4.0</v>
      </c>
      <c r="G174" s="3">
        <v>2880.0</v>
      </c>
      <c r="H174" s="3" t="str">
        <f>VLOOKUP(B174,'Currency Table'!$M$3:$N$6,2, FALSE)</f>
        <v>PLN</v>
      </c>
      <c r="I174" s="3"/>
      <c r="J174" s="3"/>
      <c r="K174" s="3"/>
      <c r="L174" s="3"/>
      <c r="M174" s="3"/>
      <c r="N174" s="3"/>
      <c r="O174" s="7"/>
      <c r="P174" s="3"/>
      <c r="Q174" s="3"/>
      <c r="R174" s="3"/>
      <c r="S174" s="3"/>
      <c r="T174" s="3"/>
      <c r="U174" s="3"/>
      <c r="V174" s="3"/>
      <c r="W174" s="3"/>
    </row>
    <row r="175" ht="15.75" customHeight="1">
      <c r="A175" s="3" t="s">
        <v>63</v>
      </c>
      <c r="B175" s="3" t="s">
        <v>9</v>
      </c>
      <c r="C175" s="3" t="s">
        <v>30</v>
      </c>
      <c r="D175" s="4">
        <v>45684.0</v>
      </c>
      <c r="E175" s="3">
        <v>64.0</v>
      </c>
      <c r="F175" s="5">
        <v>3.0</v>
      </c>
      <c r="G175" s="3">
        <v>4173.0</v>
      </c>
      <c r="H175" s="3" t="str">
        <f>VLOOKUP(B175,'Currency Table'!$M$3:$N$6,2, FALSE)</f>
        <v>PLN</v>
      </c>
      <c r="I175" s="3"/>
      <c r="J175" s="3"/>
      <c r="K175" s="3"/>
      <c r="L175" s="3"/>
      <c r="M175" s="3"/>
      <c r="N175" s="3"/>
      <c r="O175" s="7"/>
      <c r="P175" s="3"/>
      <c r="Q175" s="3"/>
      <c r="R175" s="3"/>
      <c r="S175" s="3"/>
      <c r="T175" s="3"/>
      <c r="U175" s="3"/>
      <c r="V175" s="3"/>
      <c r="W175" s="3"/>
    </row>
    <row r="176" ht="15.75" customHeight="1">
      <c r="A176" s="3" t="s">
        <v>68</v>
      </c>
      <c r="B176" s="3" t="s">
        <v>9</v>
      </c>
      <c r="C176" s="3" t="s">
        <v>30</v>
      </c>
      <c r="D176" s="4">
        <v>45684.0</v>
      </c>
      <c r="E176" s="3">
        <v>59.0</v>
      </c>
      <c r="F176" s="5">
        <v>1.0</v>
      </c>
      <c r="G176" s="3">
        <v>3645.0</v>
      </c>
      <c r="H176" s="3" t="str">
        <f>VLOOKUP(B176,'Currency Table'!$M$3:$N$6,2, FALSE)</f>
        <v>PLN</v>
      </c>
      <c r="I176" s="3"/>
      <c r="J176" s="3"/>
      <c r="K176" s="3"/>
      <c r="L176" s="3"/>
      <c r="M176" s="3"/>
      <c r="N176" s="3"/>
      <c r="O176" s="7"/>
      <c r="P176" s="3"/>
      <c r="Q176" s="3"/>
      <c r="R176" s="3"/>
      <c r="S176" s="3"/>
      <c r="T176" s="3"/>
      <c r="U176" s="3"/>
      <c r="V176" s="3"/>
      <c r="W176" s="3"/>
    </row>
    <row r="177" ht="15.75" customHeight="1">
      <c r="A177" s="3" t="s">
        <v>75</v>
      </c>
      <c r="B177" s="3" t="s">
        <v>9</v>
      </c>
      <c r="C177" s="3" t="s">
        <v>30</v>
      </c>
      <c r="D177" s="4">
        <v>45684.0</v>
      </c>
      <c r="E177" s="3">
        <v>66.0</v>
      </c>
      <c r="F177" s="5">
        <v>5.0</v>
      </c>
      <c r="G177" s="3">
        <v>4221.0</v>
      </c>
      <c r="H177" s="3" t="str">
        <f>VLOOKUP(B177,'Currency Table'!$M$3:$N$6,2, FALSE)</f>
        <v>PLN</v>
      </c>
      <c r="I177" s="3"/>
      <c r="J177" s="3"/>
      <c r="K177" s="3"/>
      <c r="L177" s="3"/>
      <c r="M177" s="3"/>
      <c r="N177" s="3"/>
      <c r="O177" s="7"/>
      <c r="P177" s="3"/>
      <c r="Q177" s="3"/>
      <c r="R177" s="3"/>
      <c r="S177" s="3"/>
      <c r="T177" s="3"/>
      <c r="U177" s="3"/>
      <c r="V177" s="3"/>
      <c r="W177" s="3"/>
    </row>
    <row r="178" ht="15.75" customHeight="1">
      <c r="A178" s="3" t="s">
        <v>61</v>
      </c>
      <c r="B178" s="3" t="s">
        <v>9</v>
      </c>
      <c r="C178" s="3" t="s">
        <v>12</v>
      </c>
      <c r="D178" s="4">
        <v>45670.0</v>
      </c>
      <c r="E178" s="3">
        <v>15.0</v>
      </c>
      <c r="F178" s="5">
        <v>5.0</v>
      </c>
      <c r="G178" s="3">
        <v>909.0</v>
      </c>
      <c r="H178" s="3" t="str">
        <f>VLOOKUP(B178,'Currency Table'!$M$3:$N$6,2, FALSE)</f>
        <v>PLN</v>
      </c>
      <c r="I178" s="3"/>
      <c r="J178" s="3"/>
      <c r="K178" s="3"/>
      <c r="L178" s="3"/>
      <c r="M178" s="3"/>
      <c r="N178" s="3"/>
      <c r="O178" s="7"/>
      <c r="P178" s="3"/>
      <c r="Q178" s="3"/>
      <c r="R178" s="3"/>
      <c r="S178" s="3"/>
      <c r="T178" s="3"/>
      <c r="U178" s="3"/>
      <c r="V178" s="3"/>
      <c r="W178" s="3"/>
    </row>
    <row r="179" ht="15.75" customHeight="1">
      <c r="A179" s="3" t="s">
        <v>65</v>
      </c>
      <c r="B179" s="3" t="s">
        <v>9</v>
      </c>
      <c r="C179" s="3" t="s">
        <v>12</v>
      </c>
      <c r="D179" s="4">
        <v>45670.0</v>
      </c>
      <c r="E179" s="3">
        <v>63.0</v>
      </c>
      <c r="F179" s="5">
        <v>0.0</v>
      </c>
      <c r="G179" s="3">
        <v>3910.0</v>
      </c>
      <c r="H179" s="3" t="str">
        <f>VLOOKUP(B179,'Currency Table'!$M$3:$N$6,2, FALSE)</f>
        <v>PLN</v>
      </c>
      <c r="I179" s="3"/>
      <c r="J179" s="3"/>
      <c r="K179" s="3"/>
      <c r="L179" s="3"/>
      <c r="M179" s="3"/>
      <c r="N179" s="3"/>
      <c r="O179" s="7"/>
      <c r="P179" s="3"/>
      <c r="Q179" s="3"/>
      <c r="R179" s="3"/>
      <c r="S179" s="3"/>
      <c r="T179" s="3"/>
      <c r="U179" s="3"/>
      <c r="V179" s="3"/>
      <c r="W179" s="3"/>
    </row>
    <row r="180" ht="15.75" customHeight="1">
      <c r="A180" s="3" t="s">
        <v>83</v>
      </c>
      <c r="B180" s="3" t="s">
        <v>9</v>
      </c>
      <c r="C180" s="3" t="s">
        <v>12</v>
      </c>
      <c r="D180" s="4">
        <v>45670.0</v>
      </c>
      <c r="E180" s="3">
        <v>63.0</v>
      </c>
      <c r="F180" s="5">
        <v>3.0</v>
      </c>
      <c r="G180" s="3">
        <v>4325.0</v>
      </c>
      <c r="H180" s="3" t="str">
        <f>VLOOKUP(B180,'Currency Table'!$M$3:$N$6,2, FALSE)</f>
        <v>PLN</v>
      </c>
      <c r="I180" s="3"/>
      <c r="J180" s="3"/>
      <c r="K180" s="3"/>
      <c r="L180" s="3"/>
      <c r="M180" s="3"/>
      <c r="N180" s="3"/>
      <c r="O180" s="7"/>
      <c r="P180" s="3"/>
      <c r="Q180" s="3"/>
      <c r="R180" s="3"/>
      <c r="S180" s="3"/>
      <c r="T180" s="3"/>
      <c r="U180" s="3"/>
      <c r="V180" s="3"/>
      <c r="W180" s="3"/>
    </row>
    <row r="181" ht="15.75" customHeight="1">
      <c r="A181" s="3" t="s">
        <v>78</v>
      </c>
      <c r="B181" s="3" t="s">
        <v>9</v>
      </c>
      <c r="C181" s="3" t="s">
        <v>30</v>
      </c>
      <c r="D181" s="4">
        <v>45684.0</v>
      </c>
      <c r="E181" s="3">
        <v>39.0</v>
      </c>
      <c r="F181" s="5">
        <v>2.0</v>
      </c>
      <c r="G181" s="3">
        <v>2833.0</v>
      </c>
      <c r="H181" s="3" t="str">
        <f>VLOOKUP(B181,'Currency Table'!$M$3:$N$6,2, FALSE)</f>
        <v>PLN</v>
      </c>
      <c r="I181" s="3"/>
      <c r="J181" s="3"/>
      <c r="K181" s="3"/>
      <c r="L181" s="3"/>
      <c r="M181" s="3"/>
      <c r="N181" s="3"/>
      <c r="O181" s="7"/>
      <c r="P181" s="3"/>
      <c r="Q181" s="3"/>
      <c r="R181" s="3"/>
      <c r="S181" s="3"/>
      <c r="T181" s="3"/>
      <c r="U181" s="3"/>
      <c r="V181" s="3"/>
      <c r="W181" s="3"/>
    </row>
    <row r="182" ht="15.75" customHeight="1">
      <c r="A182" s="3" t="s">
        <v>80</v>
      </c>
      <c r="B182" s="3" t="s">
        <v>9</v>
      </c>
      <c r="C182" s="3" t="s">
        <v>30</v>
      </c>
      <c r="D182" s="4">
        <v>45684.0</v>
      </c>
      <c r="E182" s="3">
        <v>67.0</v>
      </c>
      <c r="F182" s="5">
        <v>1.0</v>
      </c>
      <c r="G182" s="3">
        <v>4413.0</v>
      </c>
      <c r="H182" s="3" t="str">
        <f>VLOOKUP(B182,'Currency Table'!$M$3:$N$6,2, FALSE)</f>
        <v>PLN</v>
      </c>
      <c r="I182" s="3"/>
      <c r="J182" s="3"/>
      <c r="K182" s="3"/>
      <c r="L182" s="3"/>
      <c r="M182" s="3"/>
      <c r="N182" s="3"/>
      <c r="O182" s="7"/>
      <c r="P182" s="3"/>
      <c r="Q182" s="3"/>
      <c r="R182" s="3"/>
      <c r="S182" s="3"/>
      <c r="T182" s="3"/>
      <c r="U182" s="3"/>
      <c r="V182" s="3"/>
      <c r="W182" s="3"/>
    </row>
    <row r="183" ht="15.75" customHeight="1">
      <c r="A183" s="3" t="s">
        <v>89</v>
      </c>
      <c r="B183" s="3" t="s">
        <v>9</v>
      </c>
      <c r="C183" s="3" t="s">
        <v>12</v>
      </c>
      <c r="D183" s="4">
        <v>45670.0</v>
      </c>
      <c r="E183" s="3">
        <v>31.0</v>
      </c>
      <c r="F183" s="5">
        <v>4.0</v>
      </c>
      <c r="G183" s="3">
        <v>2383.0</v>
      </c>
      <c r="H183" s="3" t="str">
        <f>VLOOKUP(B183,'Currency Table'!$M$3:$N$6,2, FALSE)</f>
        <v>PLN</v>
      </c>
      <c r="I183" s="3"/>
      <c r="J183" s="3"/>
      <c r="K183" s="3"/>
      <c r="L183" s="3"/>
      <c r="M183" s="3"/>
      <c r="N183" s="3"/>
      <c r="O183" s="7"/>
      <c r="P183" s="3"/>
      <c r="Q183" s="3"/>
      <c r="R183" s="3"/>
      <c r="S183" s="3"/>
      <c r="T183" s="3"/>
      <c r="U183" s="3"/>
      <c r="V183" s="3"/>
      <c r="W183" s="3"/>
    </row>
    <row r="184" ht="15.75" customHeight="1">
      <c r="A184" s="3" t="s">
        <v>84</v>
      </c>
      <c r="B184" s="3" t="s">
        <v>9</v>
      </c>
      <c r="C184" s="3" t="s">
        <v>16</v>
      </c>
      <c r="D184" s="4">
        <v>45670.0</v>
      </c>
      <c r="E184" s="3">
        <v>25.0</v>
      </c>
      <c r="F184" s="5">
        <v>0.0</v>
      </c>
      <c r="G184" s="3">
        <v>1729.0</v>
      </c>
      <c r="H184" s="3" t="str">
        <f>VLOOKUP(B184,'Currency Table'!$M$3:$N$6,2, FALSE)</f>
        <v>PLN</v>
      </c>
      <c r="I184" s="3"/>
      <c r="J184" s="3"/>
      <c r="K184" s="3"/>
      <c r="L184" s="3"/>
      <c r="M184" s="3"/>
      <c r="N184" s="3"/>
      <c r="O184" s="7"/>
      <c r="P184" s="3"/>
      <c r="Q184" s="3"/>
      <c r="R184" s="3"/>
      <c r="S184" s="3"/>
      <c r="T184" s="3"/>
      <c r="U184" s="3"/>
      <c r="V184" s="3"/>
      <c r="W184" s="3"/>
    </row>
    <row r="185" ht="15.75" customHeight="1">
      <c r="A185" s="3" t="s">
        <v>90</v>
      </c>
      <c r="B185" s="3" t="s">
        <v>9</v>
      </c>
      <c r="C185" s="3" t="s">
        <v>12</v>
      </c>
      <c r="D185" s="4">
        <v>45670.0</v>
      </c>
      <c r="E185" s="3">
        <v>30.0</v>
      </c>
      <c r="F185" s="5">
        <v>2.0</v>
      </c>
      <c r="G185" s="3">
        <v>1596.0</v>
      </c>
      <c r="H185" s="3" t="str">
        <f>VLOOKUP(B185,'Currency Table'!$M$3:$N$6,2, FALSE)</f>
        <v>PLN</v>
      </c>
      <c r="I185" s="3"/>
      <c r="J185" s="3"/>
      <c r="K185" s="3"/>
      <c r="L185" s="3"/>
      <c r="M185" s="3"/>
      <c r="N185" s="3"/>
      <c r="O185" s="7"/>
      <c r="P185" s="3"/>
      <c r="Q185" s="3"/>
      <c r="R185" s="3"/>
      <c r="S185" s="3"/>
      <c r="T185" s="3"/>
      <c r="U185" s="3"/>
      <c r="V185" s="3"/>
      <c r="W185" s="3"/>
    </row>
    <row r="186" ht="15.75" customHeight="1">
      <c r="A186" s="3" t="s">
        <v>97</v>
      </c>
      <c r="B186" s="3" t="s">
        <v>9</v>
      </c>
      <c r="C186" s="3" t="s">
        <v>30</v>
      </c>
      <c r="D186" s="4">
        <v>45684.0</v>
      </c>
      <c r="E186" s="3">
        <v>17.0</v>
      </c>
      <c r="F186" s="5">
        <v>1.0</v>
      </c>
      <c r="G186" s="3">
        <v>1142.0</v>
      </c>
      <c r="H186" s="3" t="str">
        <f>VLOOKUP(B186,'Currency Table'!$M$3:$N$6,2, FALSE)</f>
        <v>PLN</v>
      </c>
      <c r="I186" s="3"/>
      <c r="J186" s="3"/>
      <c r="K186" s="3"/>
      <c r="L186" s="3"/>
      <c r="M186" s="3"/>
      <c r="N186" s="3"/>
      <c r="O186" s="7"/>
      <c r="P186" s="3"/>
      <c r="Q186" s="3"/>
      <c r="R186" s="3"/>
      <c r="S186" s="3"/>
      <c r="T186" s="3"/>
      <c r="U186" s="3"/>
      <c r="V186" s="3"/>
      <c r="W186" s="3"/>
    </row>
    <row r="187" ht="15.75" customHeight="1">
      <c r="A187" s="3" t="s">
        <v>91</v>
      </c>
      <c r="B187" s="3" t="s">
        <v>9</v>
      </c>
      <c r="C187" s="3" t="s">
        <v>16</v>
      </c>
      <c r="D187" s="4">
        <v>45670.0</v>
      </c>
      <c r="E187" s="3">
        <v>24.0</v>
      </c>
      <c r="F187" s="5">
        <v>1.0</v>
      </c>
      <c r="G187" s="3">
        <v>1599.0</v>
      </c>
      <c r="H187" s="3" t="str">
        <f>VLOOKUP(B187,'Currency Table'!$M$3:$N$6,2, FALSE)</f>
        <v>PLN</v>
      </c>
      <c r="I187" s="3"/>
      <c r="J187" s="3"/>
      <c r="K187" s="3"/>
      <c r="L187" s="3"/>
      <c r="M187" s="3"/>
      <c r="N187" s="3"/>
      <c r="O187" s="7"/>
      <c r="P187" s="3"/>
      <c r="Q187" s="3"/>
      <c r="R187" s="3"/>
      <c r="S187" s="3"/>
      <c r="T187" s="3"/>
      <c r="U187" s="3"/>
      <c r="V187" s="3"/>
      <c r="W187" s="3"/>
    </row>
    <row r="188" ht="15.75" customHeight="1">
      <c r="A188" s="3" t="s">
        <v>44</v>
      </c>
      <c r="B188" s="3" t="s">
        <v>9</v>
      </c>
      <c r="C188" s="3" t="s">
        <v>23</v>
      </c>
      <c r="D188" s="4">
        <v>45670.0</v>
      </c>
      <c r="E188" s="3">
        <v>33.0</v>
      </c>
      <c r="F188" s="5">
        <v>3.0</v>
      </c>
      <c r="G188" s="3">
        <v>2571.0</v>
      </c>
      <c r="H188" s="3" t="str">
        <f>VLOOKUP(B188,'Currency Table'!$M$3:$N$6,2, FALSE)</f>
        <v>PLN</v>
      </c>
      <c r="I188" s="3"/>
      <c r="J188" s="3"/>
      <c r="K188" s="3"/>
      <c r="L188" s="3"/>
      <c r="M188" s="3"/>
      <c r="N188" s="3"/>
      <c r="O188" s="7"/>
      <c r="P188" s="3"/>
      <c r="Q188" s="3"/>
      <c r="R188" s="3"/>
      <c r="S188" s="3"/>
      <c r="T188" s="3"/>
      <c r="U188" s="3"/>
      <c r="V188" s="3"/>
      <c r="W188" s="3"/>
    </row>
    <row r="189" ht="15.75" customHeight="1">
      <c r="A189" s="3" t="s">
        <v>118</v>
      </c>
      <c r="B189" s="3" t="s">
        <v>9</v>
      </c>
      <c r="C189" s="3" t="s">
        <v>10</v>
      </c>
      <c r="D189" s="4">
        <v>45670.0</v>
      </c>
      <c r="E189" s="3">
        <v>46.0</v>
      </c>
      <c r="F189" s="5">
        <v>4.0</v>
      </c>
      <c r="G189" s="3">
        <v>3494.0</v>
      </c>
      <c r="H189" s="3" t="str">
        <f>VLOOKUP(B189,'Currency Table'!$M$3:$N$6,2, FALSE)</f>
        <v>PLN</v>
      </c>
      <c r="I189" s="3"/>
      <c r="J189" s="3"/>
      <c r="K189" s="3"/>
      <c r="L189" s="3"/>
      <c r="M189" s="3"/>
      <c r="N189" s="3"/>
      <c r="O189" s="7"/>
      <c r="P189" s="3"/>
      <c r="Q189" s="3"/>
      <c r="R189" s="3"/>
      <c r="S189" s="3"/>
      <c r="T189" s="3"/>
      <c r="U189" s="3"/>
      <c r="V189" s="3"/>
      <c r="W189" s="3"/>
    </row>
    <row r="190" ht="15.75" customHeight="1">
      <c r="A190" s="3" t="s">
        <v>57</v>
      </c>
      <c r="B190" s="3" t="s">
        <v>9</v>
      </c>
      <c r="C190" s="3" t="s">
        <v>23</v>
      </c>
      <c r="D190" s="4">
        <v>45670.0</v>
      </c>
      <c r="E190" s="3">
        <v>23.0</v>
      </c>
      <c r="F190" s="5">
        <v>3.0</v>
      </c>
      <c r="G190" s="3">
        <v>1166.0</v>
      </c>
      <c r="H190" s="3" t="str">
        <f>VLOOKUP(B190,'Currency Table'!$M$3:$N$6,2, FALSE)</f>
        <v>PLN</v>
      </c>
      <c r="I190" s="3"/>
      <c r="J190" s="3"/>
      <c r="K190" s="3"/>
      <c r="L190" s="3"/>
      <c r="M190" s="3"/>
      <c r="N190" s="3"/>
      <c r="O190" s="7"/>
      <c r="P190" s="3"/>
      <c r="Q190" s="3"/>
      <c r="R190" s="3"/>
      <c r="S190" s="3"/>
      <c r="T190" s="3"/>
      <c r="U190" s="3"/>
      <c r="V190" s="3"/>
      <c r="W190" s="3"/>
    </row>
    <row r="191" ht="15.75" customHeight="1">
      <c r="A191" s="3" t="s">
        <v>94</v>
      </c>
      <c r="B191" s="3" t="s">
        <v>9</v>
      </c>
      <c r="C191" s="3" t="s">
        <v>16</v>
      </c>
      <c r="D191" s="4">
        <v>45670.0</v>
      </c>
      <c r="E191" s="3">
        <v>18.0</v>
      </c>
      <c r="F191" s="5">
        <v>3.0</v>
      </c>
      <c r="G191" s="3">
        <v>1461.0</v>
      </c>
      <c r="H191" s="3" t="str">
        <f>VLOOKUP(B191,'Currency Table'!$M$3:$N$6,2, FALSE)</f>
        <v>PLN</v>
      </c>
      <c r="I191" s="3"/>
      <c r="J191" s="3"/>
      <c r="K191" s="3"/>
      <c r="L191" s="3"/>
      <c r="M191" s="3"/>
      <c r="N191" s="3"/>
      <c r="O191" s="7"/>
      <c r="P191" s="3"/>
      <c r="Q191" s="3"/>
      <c r="R191" s="3"/>
      <c r="S191" s="3"/>
      <c r="T191" s="3"/>
      <c r="U191" s="3"/>
      <c r="V191" s="3"/>
      <c r="W191" s="3"/>
    </row>
    <row r="192" ht="15.75" customHeight="1">
      <c r="A192" s="3" t="s">
        <v>60</v>
      </c>
      <c r="B192" s="3" t="s">
        <v>9</v>
      </c>
      <c r="C192" s="3" t="s">
        <v>23</v>
      </c>
      <c r="D192" s="4">
        <v>45670.0</v>
      </c>
      <c r="E192" s="3">
        <v>11.0</v>
      </c>
      <c r="F192" s="5">
        <v>3.0</v>
      </c>
      <c r="G192" s="3">
        <v>1237.0</v>
      </c>
      <c r="H192" s="3" t="str">
        <f>VLOOKUP(B192,'Currency Table'!$M$3:$N$6,2, FALSE)</f>
        <v>PLN</v>
      </c>
      <c r="I192" s="3"/>
      <c r="J192" s="3"/>
      <c r="K192" s="3"/>
      <c r="L192" s="3"/>
      <c r="M192" s="3"/>
      <c r="N192" s="3"/>
      <c r="O192" s="7"/>
      <c r="P192" s="3"/>
      <c r="Q192" s="3"/>
      <c r="R192" s="3"/>
      <c r="S192" s="3"/>
      <c r="T192" s="3"/>
      <c r="U192" s="3"/>
      <c r="V192" s="3"/>
      <c r="W192" s="3"/>
    </row>
    <row r="193" ht="15.75" customHeight="1">
      <c r="A193" s="3" t="s">
        <v>114</v>
      </c>
      <c r="B193" s="3" t="s">
        <v>9</v>
      </c>
      <c r="C193" s="3" t="s">
        <v>14</v>
      </c>
      <c r="D193" s="4">
        <v>45670.0</v>
      </c>
      <c r="E193" s="3">
        <v>50.0</v>
      </c>
      <c r="F193" s="5">
        <v>1.0</v>
      </c>
      <c r="G193" s="3">
        <v>3386.0</v>
      </c>
      <c r="H193" s="3" t="str">
        <f>VLOOKUP(B193,'Currency Table'!$M$3:$N$6,2, FALSE)</f>
        <v>PLN</v>
      </c>
      <c r="I193" s="3"/>
      <c r="J193" s="3"/>
      <c r="K193" s="3"/>
      <c r="L193" s="3"/>
      <c r="M193" s="3"/>
      <c r="N193" s="3"/>
      <c r="O193" s="7"/>
      <c r="P193" s="3"/>
      <c r="Q193" s="3"/>
      <c r="R193" s="3"/>
      <c r="S193" s="3"/>
      <c r="T193" s="3"/>
      <c r="U193" s="3"/>
      <c r="V193" s="3"/>
      <c r="W193" s="3"/>
    </row>
    <row r="194" ht="15.75" customHeight="1">
      <c r="A194" s="3" t="s">
        <v>62</v>
      </c>
      <c r="B194" s="3" t="s">
        <v>9</v>
      </c>
      <c r="C194" s="3" t="s">
        <v>23</v>
      </c>
      <c r="D194" s="4">
        <v>45670.0</v>
      </c>
      <c r="E194" s="3">
        <v>51.0</v>
      </c>
      <c r="F194" s="5">
        <v>0.0</v>
      </c>
      <c r="G194" s="3">
        <v>3825.0</v>
      </c>
      <c r="H194" s="3" t="str">
        <f>VLOOKUP(B194,'Currency Table'!$M$3:$N$6,2, FALSE)</f>
        <v>PLN</v>
      </c>
      <c r="I194" s="3"/>
      <c r="J194" s="3"/>
      <c r="K194" s="3"/>
      <c r="L194" s="3"/>
      <c r="M194" s="3"/>
      <c r="N194" s="3"/>
      <c r="O194" s="7"/>
      <c r="P194" s="3"/>
      <c r="Q194" s="3"/>
      <c r="R194" s="3"/>
      <c r="S194" s="3"/>
      <c r="T194" s="3"/>
      <c r="U194" s="3"/>
      <c r="V194" s="3"/>
      <c r="W194" s="3"/>
    </row>
    <row r="195" ht="15.75" customHeight="1">
      <c r="A195" s="3" t="s">
        <v>100</v>
      </c>
      <c r="B195" s="3" t="s">
        <v>9</v>
      </c>
      <c r="C195" s="3" t="s">
        <v>16</v>
      </c>
      <c r="D195" s="4">
        <v>45670.0</v>
      </c>
      <c r="E195" s="3">
        <v>29.0</v>
      </c>
      <c r="F195" s="5">
        <v>0.0</v>
      </c>
      <c r="G195" s="3">
        <v>1924.0</v>
      </c>
      <c r="H195" s="3" t="str">
        <f>VLOOKUP(B195,'Currency Table'!$M$3:$N$6,2, FALSE)</f>
        <v>PLN</v>
      </c>
      <c r="I195" s="3"/>
      <c r="J195" s="3"/>
      <c r="K195" s="3"/>
      <c r="L195" s="3"/>
      <c r="M195" s="3"/>
      <c r="N195" s="3"/>
      <c r="O195" s="7"/>
      <c r="P195" s="3"/>
      <c r="Q195" s="3"/>
      <c r="R195" s="3"/>
      <c r="S195" s="3"/>
      <c r="T195" s="3"/>
      <c r="U195" s="3"/>
      <c r="V195" s="3"/>
      <c r="W195" s="3"/>
    </row>
    <row r="196" ht="15.75" customHeight="1">
      <c r="A196" s="3" t="s">
        <v>66</v>
      </c>
      <c r="B196" s="3" t="s">
        <v>9</v>
      </c>
      <c r="C196" s="3" t="s">
        <v>23</v>
      </c>
      <c r="D196" s="4">
        <v>45670.0</v>
      </c>
      <c r="E196" s="3">
        <v>61.0</v>
      </c>
      <c r="F196" s="5">
        <v>3.0</v>
      </c>
      <c r="G196" s="3">
        <v>4209.0</v>
      </c>
      <c r="H196" s="3" t="str">
        <f>VLOOKUP(B196,'Currency Table'!$M$3:$N$6,2, FALSE)</f>
        <v>PLN</v>
      </c>
      <c r="I196" s="3"/>
      <c r="J196" s="3"/>
      <c r="K196" s="3"/>
      <c r="L196" s="3"/>
      <c r="M196" s="3"/>
      <c r="N196" s="3"/>
      <c r="O196" s="7"/>
      <c r="P196" s="3"/>
      <c r="Q196" s="3"/>
      <c r="R196" s="3"/>
      <c r="S196" s="3"/>
      <c r="T196" s="3"/>
      <c r="U196" s="3"/>
      <c r="V196" s="3"/>
      <c r="W196" s="3"/>
    </row>
    <row r="197" ht="15.75" customHeight="1">
      <c r="A197" s="3" t="s">
        <v>109</v>
      </c>
      <c r="B197" s="3" t="s">
        <v>9</v>
      </c>
      <c r="C197" s="3" t="s">
        <v>16</v>
      </c>
      <c r="D197" s="4">
        <v>45670.0</v>
      </c>
      <c r="E197" s="3">
        <v>31.0</v>
      </c>
      <c r="F197" s="5">
        <v>4.0</v>
      </c>
      <c r="G197" s="3">
        <v>2960.0</v>
      </c>
      <c r="H197" s="3" t="str">
        <f>VLOOKUP(B197,'Currency Table'!$M$3:$N$6,2, FALSE)</f>
        <v>PLN</v>
      </c>
      <c r="I197" s="3"/>
      <c r="J197" s="3"/>
      <c r="K197" s="3"/>
      <c r="L197" s="3"/>
      <c r="M197" s="3"/>
      <c r="N197" s="3"/>
      <c r="O197" s="7"/>
      <c r="P197" s="3"/>
      <c r="Q197" s="3"/>
      <c r="R197" s="3"/>
      <c r="S197" s="3"/>
      <c r="T197" s="3"/>
      <c r="U197" s="3"/>
      <c r="V197" s="3"/>
      <c r="W197" s="3"/>
    </row>
    <row r="198" ht="15.75" customHeight="1">
      <c r="A198" s="3" t="s">
        <v>119</v>
      </c>
      <c r="B198" s="3" t="s">
        <v>9</v>
      </c>
      <c r="C198" s="3" t="s">
        <v>16</v>
      </c>
      <c r="D198" s="4">
        <v>45670.0</v>
      </c>
      <c r="E198" s="3">
        <v>16.0</v>
      </c>
      <c r="F198" s="5">
        <v>0.0</v>
      </c>
      <c r="G198" s="3">
        <v>1676.0</v>
      </c>
      <c r="H198" s="3" t="str">
        <f>VLOOKUP(B198,'Currency Table'!$M$3:$N$6,2, FALSE)</f>
        <v>PLN</v>
      </c>
      <c r="I198" s="3"/>
      <c r="J198" s="3"/>
      <c r="K198" s="3"/>
      <c r="L198" s="3"/>
      <c r="M198" s="3"/>
      <c r="N198" s="3"/>
      <c r="O198" s="7"/>
      <c r="P198" s="3"/>
      <c r="Q198" s="3"/>
      <c r="R198" s="3"/>
      <c r="S198" s="3"/>
      <c r="T198" s="3"/>
      <c r="U198" s="3"/>
      <c r="V198" s="3"/>
      <c r="W198" s="3"/>
    </row>
    <row r="199" ht="15.75" customHeight="1">
      <c r="A199" s="3" t="s">
        <v>88</v>
      </c>
      <c r="B199" s="3" t="s">
        <v>9</v>
      </c>
      <c r="C199" s="3" t="s">
        <v>23</v>
      </c>
      <c r="D199" s="4">
        <v>45670.0</v>
      </c>
      <c r="E199" s="3">
        <v>41.0</v>
      </c>
      <c r="F199" s="5">
        <v>5.0</v>
      </c>
      <c r="G199" s="3">
        <v>2145.0</v>
      </c>
      <c r="H199" s="3" t="str">
        <f>VLOOKUP(B199,'Currency Table'!$M$3:$N$6,2, FALSE)</f>
        <v>PLN</v>
      </c>
      <c r="I199" s="3"/>
      <c r="J199" s="3"/>
      <c r="K199" s="3"/>
      <c r="L199" s="3"/>
      <c r="M199" s="3"/>
      <c r="N199" s="3"/>
      <c r="O199" s="7"/>
      <c r="P199" s="3"/>
      <c r="Q199" s="3"/>
      <c r="R199" s="3"/>
      <c r="S199" s="3"/>
      <c r="T199" s="3"/>
      <c r="U199" s="3"/>
      <c r="V199" s="3"/>
      <c r="W199" s="3"/>
    </row>
    <row r="200" ht="15.75" customHeight="1">
      <c r="A200" s="3" t="s">
        <v>120</v>
      </c>
      <c r="B200" s="3" t="s">
        <v>9</v>
      </c>
      <c r="C200" s="3" t="s">
        <v>16</v>
      </c>
      <c r="D200" s="4">
        <v>45670.0</v>
      </c>
      <c r="E200" s="3">
        <v>14.0</v>
      </c>
      <c r="F200" s="5">
        <v>4.0</v>
      </c>
      <c r="G200" s="3">
        <v>1035.0</v>
      </c>
      <c r="H200" s="3" t="str">
        <f>VLOOKUP(B200,'Currency Table'!$M$3:$N$6,2, FALSE)</f>
        <v>PLN</v>
      </c>
      <c r="I200" s="3"/>
      <c r="J200" s="3"/>
      <c r="K200" s="3"/>
      <c r="L200" s="3"/>
      <c r="M200" s="3"/>
      <c r="N200" s="3"/>
      <c r="O200" s="7"/>
      <c r="P200" s="3"/>
      <c r="Q200" s="3"/>
      <c r="R200" s="3"/>
      <c r="S200" s="3"/>
      <c r="T200" s="3"/>
      <c r="U200" s="3"/>
      <c r="V200" s="3"/>
      <c r="W200" s="3"/>
    </row>
    <row r="201" ht="15.75" customHeight="1">
      <c r="A201" s="3" t="s">
        <v>121</v>
      </c>
      <c r="B201" s="3" t="s">
        <v>9</v>
      </c>
      <c r="C201" s="3" t="s">
        <v>16</v>
      </c>
      <c r="D201" s="4">
        <v>45670.0</v>
      </c>
      <c r="E201" s="3">
        <v>54.0</v>
      </c>
      <c r="F201" s="5">
        <v>2.0</v>
      </c>
      <c r="G201" s="3">
        <v>3502.0</v>
      </c>
      <c r="H201" s="3" t="str">
        <f>VLOOKUP(B201,'Currency Table'!$M$3:$N$6,2, FALSE)</f>
        <v>PLN</v>
      </c>
      <c r="I201" s="3"/>
      <c r="J201" s="3"/>
      <c r="K201" s="3"/>
      <c r="L201" s="3"/>
      <c r="M201" s="3"/>
      <c r="N201" s="3"/>
      <c r="O201" s="7"/>
      <c r="P201" s="3"/>
      <c r="Q201" s="3"/>
      <c r="R201" s="3"/>
      <c r="S201" s="3"/>
      <c r="T201" s="3"/>
      <c r="U201" s="3"/>
      <c r="V201" s="3"/>
      <c r="W201" s="3"/>
    </row>
    <row r="202" ht="15.75" customHeight="1">
      <c r="A202" s="3" t="s">
        <v>98</v>
      </c>
      <c r="B202" s="3" t="s">
        <v>9</v>
      </c>
      <c r="C202" s="3" t="s">
        <v>30</v>
      </c>
      <c r="D202" s="4">
        <v>45684.0</v>
      </c>
      <c r="E202" s="3">
        <v>43.0</v>
      </c>
      <c r="F202" s="5">
        <v>2.0</v>
      </c>
      <c r="G202" s="3">
        <v>2752.0</v>
      </c>
      <c r="H202" s="3" t="str">
        <f>VLOOKUP(B202,'Currency Table'!$M$3:$N$6,2, FALSE)</f>
        <v>PLN</v>
      </c>
      <c r="I202" s="3"/>
      <c r="J202" s="3"/>
      <c r="K202" s="3"/>
      <c r="L202" s="3"/>
      <c r="M202" s="3"/>
      <c r="N202" s="3"/>
      <c r="O202" s="7"/>
      <c r="P202" s="3"/>
      <c r="Q202" s="3"/>
      <c r="R202" s="3"/>
      <c r="S202" s="3"/>
      <c r="T202" s="3"/>
      <c r="U202" s="3"/>
      <c r="V202" s="3"/>
      <c r="W202" s="3"/>
    </row>
    <row r="203" ht="15.75" customHeight="1">
      <c r="A203" s="3" t="s">
        <v>103</v>
      </c>
      <c r="B203" s="3" t="s">
        <v>9</v>
      </c>
      <c r="C203" s="3" t="s">
        <v>23</v>
      </c>
      <c r="D203" s="4">
        <v>45670.0</v>
      </c>
      <c r="E203" s="3">
        <v>27.0</v>
      </c>
      <c r="F203" s="5">
        <v>1.0</v>
      </c>
      <c r="G203" s="3">
        <v>1395.0</v>
      </c>
      <c r="H203" s="3" t="str">
        <f>VLOOKUP(B203,'Currency Table'!$M$3:$N$6,2, FALSE)</f>
        <v>PLN</v>
      </c>
      <c r="I203" s="3"/>
      <c r="J203" s="3"/>
      <c r="K203" s="3"/>
      <c r="L203" s="3"/>
      <c r="M203" s="3"/>
      <c r="N203" s="3"/>
      <c r="O203" s="7"/>
      <c r="P203" s="3"/>
      <c r="Q203" s="3"/>
      <c r="R203" s="3"/>
      <c r="S203" s="3"/>
      <c r="T203" s="3"/>
      <c r="U203" s="3"/>
      <c r="V203" s="3"/>
      <c r="W203" s="3"/>
    </row>
    <row r="204" ht="15.75" customHeight="1">
      <c r="A204" s="3" t="s">
        <v>95</v>
      </c>
      <c r="B204" s="3" t="s">
        <v>9</v>
      </c>
      <c r="C204" s="3" t="s">
        <v>12</v>
      </c>
      <c r="D204" s="4">
        <v>45670.0</v>
      </c>
      <c r="E204" s="3">
        <v>34.0</v>
      </c>
      <c r="F204" s="5">
        <v>2.0</v>
      </c>
      <c r="G204" s="3">
        <v>2612.0</v>
      </c>
      <c r="H204" s="3" t="str">
        <f>VLOOKUP(B204,'Currency Table'!$M$3:$N$6,2, FALSE)</f>
        <v>PLN</v>
      </c>
      <c r="I204" s="3"/>
      <c r="J204" s="3"/>
      <c r="K204" s="3"/>
      <c r="L204" s="3"/>
      <c r="M204" s="3"/>
      <c r="N204" s="3"/>
      <c r="O204" s="7"/>
      <c r="P204" s="3"/>
      <c r="Q204" s="3"/>
      <c r="R204" s="3"/>
      <c r="S204" s="3"/>
      <c r="T204" s="3"/>
      <c r="U204" s="3"/>
      <c r="V204" s="3"/>
      <c r="W204" s="3"/>
    </row>
    <row r="205" ht="15.75" customHeight="1">
      <c r="A205" s="3" t="s">
        <v>122</v>
      </c>
      <c r="B205" s="3" t="s">
        <v>9</v>
      </c>
      <c r="C205" s="3" t="s">
        <v>10</v>
      </c>
      <c r="D205" s="4">
        <v>45670.0</v>
      </c>
      <c r="E205" s="3">
        <v>70.0</v>
      </c>
      <c r="F205" s="5">
        <v>5.0</v>
      </c>
      <c r="G205" s="3">
        <v>4235.0</v>
      </c>
      <c r="H205" s="3" t="str">
        <f>VLOOKUP(B205,'Currency Table'!$M$3:$N$6,2, FALSE)</f>
        <v>PLN</v>
      </c>
      <c r="I205" s="3"/>
      <c r="J205" s="3"/>
      <c r="K205" s="3"/>
      <c r="L205" s="3"/>
      <c r="M205" s="3"/>
      <c r="N205" s="3"/>
      <c r="O205" s="7"/>
      <c r="P205" s="3"/>
      <c r="Q205" s="3"/>
      <c r="R205" s="3"/>
      <c r="S205" s="3"/>
      <c r="T205" s="3"/>
      <c r="U205" s="3"/>
      <c r="V205" s="3"/>
      <c r="W205" s="3"/>
    </row>
    <row r="206" ht="15.75" customHeight="1">
      <c r="A206" s="3" t="s">
        <v>96</v>
      </c>
      <c r="B206" s="3" t="s">
        <v>9</v>
      </c>
      <c r="C206" s="3" t="s">
        <v>12</v>
      </c>
      <c r="D206" s="4">
        <v>45670.0</v>
      </c>
      <c r="E206" s="3">
        <v>38.0</v>
      </c>
      <c r="F206" s="5">
        <v>5.0</v>
      </c>
      <c r="G206" s="3">
        <v>2629.0</v>
      </c>
      <c r="H206" s="3" t="str">
        <f>VLOOKUP(B206,'Currency Table'!$M$3:$N$6,2, FALSE)</f>
        <v>PLN</v>
      </c>
      <c r="I206" s="3"/>
      <c r="J206" s="3"/>
      <c r="K206" s="3"/>
      <c r="L206" s="3"/>
      <c r="M206" s="3"/>
      <c r="N206" s="3"/>
      <c r="O206" s="7"/>
      <c r="P206" s="3"/>
      <c r="Q206" s="3"/>
      <c r="R206" s="3"/>
      <c r="S206" s="3"/>
      <c r="T206" s="3"/>
      <c r="U206" s="3"/>
      <c r="V206" s="3"/>
      <c r="W206" s="3"/>
    </row>
    <row r="207" ht="15.75" customHeight="1">
      <c r="A207" s="3" t="s">
        <v>110</v>
      </c>
      <c r="B207" s="3" t="s">
        <v>9</v>
      </c>
      <c r="C207" s="3" t="s">
        <v>23</v>
      </c>
      <c r="D207" s="4">
        <v>45670.0</v>
      </c>
      <c r="E207" s="3">
        <v>65.0</v>
      </c>
      <c r="F207" s="5">
        <v>2.0</v>
      </c>
      <c r="G207" s="3">
        <v>4319.0</v>
      </c>
      <c r="H207" s="3" t="str">
        <f>VLOOKUP(B207,'Currency Table'!$M$3:$N$6,2, FALSE)</f>
        <v>PLN</v>
      </c>
      <c r="I207" s="3"/>
      <c r="J207" s="3"/>
      <c r="K207" s="3"/>
      <c r="L207" s="3"/>
      <c r="M207" s="3"/>
      <c r="N207" s="3"/>
      <c r="O207" s="7"/>
      <c r="P207" s="3"/>
      <c r="Q207" s="3"/>
      <c r="R207" s="3"/>
      <c r="S207" s="3"/>
      <c r="T207" s="3"/>
      <c r="U207" s="3"/>
      <c r="V207" s="3"/>
      <c r="W207" s="3"/>
    </row>
    <row r="208" ht="15.75" customHeight="1">
      <c r="A208" s="3" t="s">
        <v>123</v>
      </c>
      <c r="B208" s="3" t="s">
        <v>9</v>
      </c>
      <c r="C208" s="3" t="s">
        <v>10</v>
      </c>
      <c r="D208" s="4">
        <v>45670.0</v>
      </c>
      <c r="E208" s="3">
        <v>29.0</v>
      </c>
      <c r="F208" s="5">
        <v>2.0</v>
      </c>
      <c r="G208" s="3">
        <v>1045.0</v>
      </c>
      <c r="H208" s="3" t="str">
        <f>VLOOKUP(B208,'Currency Table'!$M$3:$N$6,2, FALSE)</f>
        <v>PLN</v>
      </c>
      <c r="I208" s="3"/>
      <c r="J208" s="3"/>
      <c r="K208" s="3"/>
      <c r="L208" s="3"/>
      <c r="M208" s="3"/>
      <c r="N208" s="3"/>
      <c r="O208" s="7"/>
      <c r="P208" s="3"/>
      <c r="Q208" s="3"/>
      <c r="R208" s="3"/>
      <c r="S208" s="3"/>
      <c r="T208" s="3"/>
      <c r="U208" s="3"/>
      <c r="V208" s="3"/>
      <c r="W208" s="3"/>
    </row>
    <row r="209" ht="15.75" customHeight="1">
      <c r="A209" s="3" t="s">
        <v>101</v>
      </c>
      <c r="B209" s="3" t="s">
        <v>9</v>
      </c>
      <c r="C209" s="3" t="s">
        <v>30</v>
      </c>
      <c r="D209" s="4">
        <v>45684.0</v>
      </c>
      <c r="E209" s="3">
        <v>28.0</v>
      </c>
      <c r="F209" s="5">
        <v>4.0</v>
      </c>
      <c r="G209" s="3">
        <v>1643.0</v>
      </c>
      <c r="H209" s="3" t="str">
        <f>VLOOKUP(B209,'Currency Table'!$M$3:$N$6,2, FALSE)</f>
        <v>PLN</v>
      </c>
      <c r="I209" s="3"/>
      <c r="J209" s="3"/>
      <c r="K209" s="3"/>
      <c r="L209" s="3"/>
      <c r="M209" s="3"/>
      <c r="N209" s="3"/>
      <c r="O209" s="7"/>
      <c r="P209" s="3"/>
      <c r="Q209" s="3"/>
      <c r="R209" s="3"/>
      <c r="S209" s="3"/>
      <c r="T209" s="3"/>
      <c r="U209" s="3"/>
      <c r="V209" s="3"/>
      <c r="W209" s="3"/>
    </row>
    <row r="210" ht="15.75" customHeight="1">
      <c r="A210" s="3" t="s">
        <v>22</v>
      </c>
      <c r="B210" s="3" t="s">
        <v>9</v>
      </c>
      <c r="C210" s="3" t="s">
        <v>23</v>
      </c>
      <c r="D210" s="4">
        <v>45677.0</v>
      </c>
      <c r="E210" s="3">
        <v>52.0</v>
      </c>
      <c r="F210" s="5">
        <v>4.0</v>
      </c>
      <c r="G210" s="3">
        <v>3091.0</v>
      </c>
      <c r="H210" s="3" t="str">
        <f>VLOOKUP(B210,'Currency Table'!$M$3:$N$6,2, FALSE)</f>
        <v>PLN</v>
      </c>
      <c r="I210" s="3"/>
      <c r="J210" s="3"/>
      <c r="K210" s="3"/>
      <c r="L210" s="3"/>
      <c r="M210" s="3"/>
      <c r="N210" s="3"/>
      <c r="O210" s="7"/>
      <c r="P210" s="3"/>
      <c r="Q210" s="3"/>
      <c r="R210" s="3"/>
      <c r="S210" s="3"/>
      <c r="T210" s="3"/>
      <c r="U210" s="3"/>
      <c r="V210" s="3"/>
      <c r="W210" s="3"/>
    </row>
    <row r="211" ht="15.75" customHeight="1">
      <c r="A211" s="3" t="s">
        <v>11</v>
      </c>
      <c r="B211" s="3" t="s">
        <v>9</v>
      </c>
      <c r="C211" s="3" t="s">
        <v>12</v>
      </c>
      <c r="D211" s="4">
        <v>45677.0</v>
      </c>
      <c r="E211" s="3">
        <v>40.0</v>
      </c>
      <c r="F211" s="5">
        <v>5.0</v>
      </c>
      <c r="G211" s="3">
        <v>2671.0</v>
      </c>
      <c r="H211" s="3" t="str">
        <f>VLOOKUP(B211,'Currency Table'!$M$3:$N$6,2, FALSE)</f>
        <v>PLN</v>
      </c>
      <c r="I211" s="3"/>
      <c r="J211" s="3"/>
      <c r="K211" s="3"/>
      <c r="L211" s="3"/>
      <c r="M211" s="3"/>
      <c r="N211" s="3"/>
      <c r="O211" s="7"/>
      <c r="P211" s="3"/>
      <c r="Q211" s="3"/>
      <c r="R211" s="3"/>
      <c r="S211" s="3"/>
      <c r="T211" s="3"/>
      <c r="U211" s="3"/>
      <c r="V211" s="3"/>
      <c r="W211" s="3"/>
    </row>
    <row r="212" ht="15.75" customHeight="1">
      <c r="A212" s="3" t="s">
        <v>8</v>
      </c>
      <c r="B212" s="3" t="s">
        <v>9</v>
      </c>
      <c r="C212" s="3" t="s">
        <v>10</v>
      </c>
      <c r="D212" s="4">
        <v>45677.0</v>
      </c>
      <c r="E212" s="3">
        <v>43.0</v>
      </c>
      <c r="F212" s="5">
        <v>5.0</v>
      </c>
      <c r="G212" s="3">
        <v>2592.0</v>
      </c>
      <c r="H212" s="3" t="str">
        <f>VLOOKUP(B212,'Currency Table'!$M$3:$N$6,2, FALSE)</f>
        <v>PLN</v>
      </c>
      <c r="I212" s="3"/>
      <c r="J212" s="3"/>
      <c r="K212" s="3"/>
      <c r="L212" s="3"/>
      <c r="M212" s="3"/>
      <c r="N212" s="3"/>
      <c r="O212" s="7"/>
      <c r="P212" s="3"/>
      <c r="Q212" s="3"/>
      <c r="R212" s="3"/>
      <c r="S212" s="3"/>
      <c r="T212" s="3"/>
      <c r="U212" s="3"/>
      <c r="V212" s="3"/>
      <c r="W212" s="3"/>
    </row>
    <row r="213" ht="15.75" customHeight="1">
      <c r="A213" s="3" t="s">
        <v>13</v>
      </c>
      <c r="B213" s="3" t="s">
        <v>9</v>
      </c>
      <c r="C213" s="3" t="s">
        <v>14</v>
      </c>
      <c r="D213" s="4">
        <v>45677.0</v>
      </c>
      <c r="E213" s="3">
        <v>51.0</v>
      </c>
      <c r="F213" s="5">
        <v>1.0</v>
      </c>
      <c r="G213" s="3">
        <v>3804.0</v>
      </c>
      <c r="H213" s="3" t="str">
        <f>VLOOKUP(B213,'Currency Table'!$M$3:$N$6,2, FALSE)</f>
        <v>PLN</v>
      </c>
      <c r="I213" s="3"/>
      <c r="J213" s="3"/>
      <c r="K213" s="3"/>
      <c r="L213" s="3"/>
      <c r="M213" s="3"/>
      <c r="N213" s="3"/>
      <c r="O213" s="7"/>
      <c r="P213" s="3"/>
      <c r="Q213" s="3"/>
      <c r="R213" s="3"/>
      <c r="S213" s="3"/>
      <c r="T213" s="3"/>
      <c r="U213" s="3"/>
      <c r="V213" s="3"/>
      <c r="W213" s="3"/>
    </row>
    <row r="214" ht="15.75" customHeight="1">
      <c r="A214" s="3" t="s">
        <v>19</v>
      </c>
      <c r="B214" s="3" t="s">
        <v>9</v>
      </c>
      <c r="C214" s="3" t="s">
        <v>14</v>
      </c>
      <c r="D214" s="4">
        <v>45677.0</v>
      </c>
      <c r="E214" s="3">
        <v>11.0</v>
      </c>
      <c r="F214" s="5">
        <v>0.0</v>
      </c>
      <c r="G214" s="3">
        <v>1068.0</v>
      </c>
      <c r="H214" s="3" t="str">
        <f>VLOOKUP(B214,'Currency Table'!$M$3:$N$6,2, FALSE)</f>
        <v>PLN</v>
      </c>
      <c r="I214" s="3"/>
      <c r="J214" s="3"/>
      <c r="K214" s="3"/>
      <c r="L214" s="3"/>
      <c r="M214" s="3"/>
      <c r="N214" s="3"/>
      <c r="O214" s="7"/>
      <c r="P214" s="3"/>
      <c r="Q214" s="3"/>
      <c r="R214" s="3"/>
      <c r="S214" s="3"/>
      <c r="T214" s="3"/>
      <c r="U214" s="3"/>
      <c r="V214" s="3"/>
      <c r="W214" s="3"/>
    </row>
    <row r="215" ht="15.75" customHeight="1">
      <c r="A215" s="3" t="s">
        <v>24</v>
      </c>
      <c r="B215" s="3" t="s">
        <v>9</v>
      </c>
      <c r="C215" s="3" t="s">
        <v>23</v>
      </c>
      <c r="D215" s="4">
        <v>45677.0</v>
      </c>
      <c r="E215" s="3">
        <v>64.0</v>
      </c>
      <c r="F215" s="5">
        <v>5.0</v>
      </c>
      <c r="G215" s="3">
        <v>3936.0</v>
      </c>
      <c r="H215" s="3" t="str">
        <f>VLOOKUP(B215,'Currency Table'!$M$3:$N$6,2, FALSE)</f>
        <v>PLN</v>
      </c>
      <c r="I215" s="3"/>
      <c r="J215" s="3"/>
      <c r="K215" s="3"/>
      <c r="L215" s="3"/>
      <c r="M215" s="3"/>
      <c r="N215" s="3"/>
      <c r="O215" s="7"/>
      <c r="P215" s="3"/>
      <c r="Q215" s="3"/>
      <c r="R215" s="3"/>
      <c r="S215" s="3"/>
      <c r="T215" s="3"/>
      <c r="U215" s="3"/>
      <c r="V215" s="3"/>
      <c r="W215" s="3"/>
    </row>
    <row r="216" ht="15.75" customHeight="1">
      <c r="A216" s="3" t="s">
        <v>27</v>
      </c>
      <c r="B216" s="3" t="s">
        <v>9</v>
      </c>
      <c r="C216" s="3" t="s">
        <v>23</v>
      </c>
      <c r="D216" s="4">
        <v>45677.0</v>
      </c>
      <c r="E216" s="3">
        <v>38.0</v>
      </c>
      <c r="F216" s="5">
        <v>1.0</v>
      </c>
      <c r="G216" s="3">
        <v>2841.0</v>
      </c>
      <c r="H216" s="3" t="str">
        <f>VLOOKUP(B216,'Currency Table'!$M$3:$N$6,2, FALSE)</f>
        <v>PLN</v>
      </c>
      <c r="I216" s="3"/>
      <c r="J216" s="3"/>
      <c r="K216" s="3"/>
      <c r="L216" s="3"/>
      <c r="M216" s="3"/>
      <c r="N216" s="3"/>
      <c r="O216" s="7"/>
      <c r="P216" s="3"/>
      <c r="Q216" s="3"/>
      <c r="R216" s="3"/>
      <c r="S216" s="3"/>
      <c r="T216" s="3"/>
      <c r="U216" s="3"/>
      <c r="V216" s="3"/>
      <c r="W216" s="3"/>
    </row>
    <row r="217" ht="15.75" customHeight="1">
      <c r="A217" s="3" t="s">
        <v>42</v>
      </c>
      <c r="B217" s="3" t="s">
        <v>9</v>
      </c>
      <c r="C217" s="3" t="s">
        <v>23</v>
      </c>
      <c r="D217" s="4">
        <v>45677.0</v>
      </c>
      <c r="E217" s="3">
        <v>54.0</v>
      </c>
      <c r="F217" s="5">
        <v>4.0</v>
      </c>
      <c r="G217" s="3">
        <v>3536.0</v>
      </c>
      <c r="H217" s="3" t="str">
        <f>VLOOKUP(B217,'Currency Table'!$M$3:$N$6,2, FALSE)</f>
        <v>PLN</v>
      </c>
      <c r="I217" s="3"/>
      <c r="J217" s="3"/>
      <c r="K217" s="3"/>
      <c r="L217" s="3"/>
      <c r="M217" s="3"/>
      <c r="N217" s="3"/>
      <c r="O217" s="7"/>
      <c r="P217" s="3"/>
      <c r="Q217" s="3"/>
      <c r="R217" s="3"/>
      <c r="S217" s="3"/>
      <c r="T217" s="3"/>
      <c r="U217" s="3"/>
      <c r="V217" s="3"/>
      <c r="W217" s="3"/>
    </row>
    <row r="218" ht="15.75" customHeight="1">
      <c r="A218" s="3" t="s">
        <v>44</v>
      </c>
      <c r="B218" s="3" t="s">
        <v>9</v>
      </c>
      <c r="C218" s="3" t="s">
        <v>23</v>
      </c>
      <c r="D218" s="4">
        <v>45677.0</v>
      </c>
      <c r="E218" s="3">
        <v>14.0</v>
      </c>
      <c r="F218" s="5">
        <v>2.0</v>
      </c>
      <c r="G218" s="3">
        <v>766.0</v>
      </c>
      <c r="H218" s="3" t="str">
        <f>VLOOKUP(B218,'Currency Table'!$M$3:$N$6,2, FALSE)</f>
        <v>PLN</v>
      </c>
      <c r="I218" s="3"/>
      <c r="J218" s="3"/>
      <c r="K218" s="3"/>
      <c r="L218" s="3"/>
      <c r="M218" s="3"/>
      <c r="N218" s="3"/>
      <c r="O218" s="7"/>
      <c r="P218" s="3"/>
      <c r="Q218" s="3"/>
      <c r="R218" s="3"/>
      <c r="S218" s="3"/>
      <c r="T218" s="3"/>
      <c r="U218" s="3"/>
      <c r="V218" s="3"/>
      <c r="W218" s="3"/>
    </row>
    <row r="219" ht="15.75" customHeight="1">
      <c r="A219" s="3" t="s">
        <v>57</v>
      </c>
      <c r="B219" s="3" t="s">
        <v>9</v>
      </c>
      <c r="C219" s="3" t="s">
        <v>23</v>
      </c>
      <c r="D219" s="4">
        <v>45677.0</v>
      </c>
      <c r="E219" s="3">
        <v>34.0</v>
      </c>
      <c r="F219" s="5">
        <v>4.0</v>
      </c>
      <c r="G219" s="3">
        <v>2920.0</v>
      </c>
      <c r="H219" s="3" t="str">
        <f>VLOOKUP(B219,'Currency Table'!$M$3:$N$6,2, FALSE)</f>
        <v>PLN</v>
      </c>
      <c r="I219" s="3"/>
      <c r="J219" s="3"/>
      <c r="K219" s="3"/>
      <c r="L219" s="3"/>
      <c r="M219" s="3"/>
      <c r="N219" s="3"/>
      <c r="O219" s="7"/>
      <c r="P219" s="3"/>
      <c r="Q219" s="3"/>
      <c r="R219" s="3"/>
      <c r="S219" s="3"/>
      <c r="T219" s="3"/>
      <c r="U219" s="3"/>
      <c r="V219" s="3"/>
      <c r="W219" s="3"/>
    </row>
    <row r="220" ht="15.75" customHeight="1">
      <c r="A220" s="3" t="s">
        <v>32</v>
      </c>
      <c r="B220" s="3" t="s">
        <v>9</v>
      </c>
      <c r="C220" s="3" t="s">
        <v>14</v>
      </c>
      <c r="D220" s="4">
        <v>45677.0</v>
      </c>
      <c r="E220" s="3">
        <v>13.0</v>
      </c>
      <c r="F220" s="5">
        <v>0.0</v>
      </c>
      <c r="G220" s="3">
        <v>1082.0</v>
      </c>
      <c r="H220" s="3" t="str">
        <f>VLOOKUP(B220,'Currency Table'!$M$3:$N$6,2, FALSE)</f>
        <v>PLN</v>
      </c>
      <c r="I220" s="3"/>
      <c r="J220" s="3"/>
      <c r="K220" s="3"/>
      <c r="L220" s="3"/>
      <c r="M220" s="3"/>
      <c r="N220" s="3"/>
      <c r="O220" s="7"/>
      <c r="P220" s="3"/>
      <c r="Q220" s="3"/>
      <c r="R220" s="3"/>
      <c r="S220" s="3"/>
      <c r="T220" s="3"/>
      <c r="U220" s="3"/>
      <c r="V220" s="3"/>
      <c r="W220" s="3"/>
    </row>
    <row r="221" ht="15.75" customHeight="1">
      <c r="A221" s="3" t="s">
        <v>18</v>
      </c>
      <c r="B221" s="3" t="s">
        <v>9</v>
      </c>
      <c r="C221" s="3" t="s">
        <v>12</v>
      </c>
      <c r="D221" s="4">
        <v>45677.0</v>
      </c>
      <c r="E221" s="3">
        <v>56.0</v>
      </c>
      <c r="F221" s="5">
        <v>3.0</v>
      </c>
      <c r="G221" s="3">
        <v>3512.0</v>
      </c>
      <c r="H221" s="3" t="str">
        <f>VLOOKUP(B221,'Currency Table'!$M$3:$N$6,2, FALSE)</f>
        <v>PLN</v>
      </c>
      <c r="I221" s="3"/>
      <c r="J221" s="3"/>
      <c r="K221" s="3"/>
      <c r="L221" s="3"/>
      <c r="M221" s="3"/>
      <c r="N221" s="3"/>
      <c r="O221" s="7"/>
      <c r="P221" s="3"/>
      <c r="Q221" s="3"/>
      <c r="R221" s="3"/>
      <c r="S221" s="3"/>
      <c r="T221" s="3"/>
      <c r="U221" s="3"/>
      <c r="V221" s="3"/>
      <c r="W221" s="3"/>
    </row>
    <row r="222" ht="15.75" customHeight="1">
      <c r="A222" s="3" t="s">
        <v>29</v>
      </c>
      <c r="B222" s="3" t="s">
        <v>9</v>
      </c>
      <c r="C222" s="3" t="s">
        <v>30</v>
      </c>
      <c r="D222" s="4">
        <v>45677.0</v>
      </c>
      <c r="E222" s="3">
        <v>49.0</v>
      </c>
      <c r="F222" s="5">
        <v>0.0</v>
      </c>
      <c r="G222" s="3">
        <v>3735.0</v>
      </c>
      <c r="H222" s="3" t="str">
        <f>VLOOKUP(B222,'Currency Table'!$M$3:$N$6,2, FALSE)</f>
        <v>PLN</v>
      </c>
      <c r="I222" s="3"/>
      <c r="J222" s="3"/>
      <c r="K222" s="3"/>
      <c r="L222" s="3"/>
      <c r="M222" s="3"/>
      <c r="N222" s="3"/>
      <c r="O222" s="7"/>
      <c r="P222" s="3"/>
      <c r="Q222" s="3"/>
      <c r="R222" s="3"/>
      <c r="S222" s="3"/>
      <c r="T222" s="3"/>
      <c r="U222" s="3"/>
      <c r="V222" s="3"/>
      <c r="W222" s="3"/>
    </row>
    <row r="223" ht="15.75" customHeight="1">
      <c r="A223" s="3" t="s">
        <v>49</v>
      </c>
      <c r="B223" s="3" t="s">
        <v>9</v>
      </c>
      <c r="C223" s="3" t="s">
        <v>14</v>
      </c>
      <c r="D223" s="4">
        <v>45677.0</v>
      </c>
      <c r="E223" s="3">
        <v>21.0</v>
      </c>
      <c r="F223" s="5">
        <v>2.0</v>
      </c>
      <c r="G223" s="3">
        <v>1046.0</v>
      </c>
      <c r="H223" s="3" t="str">
        <f>VLOOKUP(B223,'Currency Table'!$M$3:$N$6,2, FALSE)</f>
        <v>PLN</v>
      </c>
      <c r="I223" s="3"/>
      <c r="J223" s="3"/>
      <c r="K223" s="3"/>
      <c r="L223" s="3"/>
      <c r="M223" s="3"/>
      <c r="N223" s="3"/>
      <c r="O223" s="7"/>
      <c r="P223" s="3"/>
      <c r="Q223" s="3"/>
      <c r="R223" s="3"/>
      <c r="S223" s="3"/>
      <c r="T223" s="3"/>
      <c r="U223" s="3"/>
      <c r="V223" s="3"/>
      <c r="W223" s="3"/>
    </row>
    <row r="224" ht="15.75" customHeight="1">
      <c r="A224" s="3" t="s">
        <v>25</v>
      </c>
      <c r="B224" s="3" t="s">
        <v>9</v>
      </c>
      <c r="C224" s="3" t="s">
        <v>10</v>
      </c>
      <c r="D224" s="4">
        <v>45677.0</v>
      </c>
      <c r="E224" s="3">
        <v>43.0</v>
      </c>
      <c r="F224" s="5">
        <v>5.0</v>
      </c>
      <c r="G224" s="3">
        <v>2045.0</v>
      </c>
      <c r="H224" s="3" t="str">
        <f>VLOOKUP(B224,'Currency Table'!$M$3:$N$6,2, FALSE)</f>
        <v>PLN</v>
      </c>
      <c r="I224" s="3"/>
      <c r="J224" s="3"/>
      <c r="K224" s="3"/>
      <c r="L224" s="3"/>
      <c r="M224" s="3"/>
      <c r="N224" s="3"/>
      <c r="O224" s="7"/>
      <c r="P224" s="3"/>
      <c r="Q224" s="3"/>
      <c r="R224" s="3"/>
      <c r="S224" s="3"/>
      <c r="T224" s="3"/>
      <c r="U224" s="3"/>
      <c r="V224" s="3"/>
      <c r="W224" s="3"/>
    </row>
    <row r="225" ht="15.75" customHeight="1">
      <c r="A225" s="3" t="s">
        <v>15</v>
      </c>
      <c r="B225" s="3" t="s">
        <v>9</v>
      </c>
      <c r="C225" s="3" t="s">
        <v>16</v>
      </c>
      <c r="D225" s="4">
        <v>45677.0</v>
      </c>
      <c r="E225" s="3">
        <v>60.0</v>
      </c>
      <c r="F225" s="5">
        <v>2.0</v>
      </c>
      <c r="G225" s="3">
        <v>3882.0</v>
      </c>
      <c r="H225" s="3" t="str">
        <f>VLOOKUP(B225,'Currency Table'!$M$3:$N$6,2, FALSE)</f>
        <v>PLN</v>
      </c>
      <c r="I225" s="3"/>
      <c r="J225" s="3"/>
      <c r="K225" s="3"/>
      <c r="L225" s="3"/>
      <c r="M225" s="3"/>
      <c r="N225" s="3"/>
      <c r="O225" s="7"/>
      <c r="P225" s="3"/>
      <c r="Q225" s="3"/>
      <c r="R225" s="3"/>
      <c r="S225" s="3"/>
      <c r="T225" s="3"/>
      <c r="U225" s="3"/>
      <c r="V225" s="3"/>
      <c r="W225" s="3"/>
    </row>
    <row r="226" ht="15.75" customHeight="1">
      <c r="A226" s="3" t="s">
        <v>51</v>
      </c>
      <c r="B226" s="3" t="s">
        <v>9</v>
      </c>
      <c r="C226" s="3" t="s">
        <v>14</v>
      </c>
      <c r="D226" s="4">
        <v>45677.0</v>
      </c>
      <c r="E226" s="3">
        <v>51.0</v>
      </c>
      <c r="F226" s="5">
        <v>0.0</v>
      </c>
      <c r="G226" s="3">
        <v>3174.0</v>
      </c>
      <c r="H226" s="3" t="str">
        <f>VLOOKUP(B226,'Currency Table'!$M$3:$N$6,2, FALSE)</f>
        <v>PLN</v>
      </c>
      <c r="I226" s="3"/>
      <c r="J226" s="3"/>
      <c r="K226" s="3"/>
      <c r="L226" s="3"/>
      <c r="M226" s="3"/>
      <c r="N226" s="3"/>
      <c r="O226" s="7"/>
      <c r="P226" s="3"/>
      <c r="Q226" s="3"/>
      <c r="R226" s="3"/>
      <c r="S226" s="3"/>
      <c r="T226" s="3"/>
      <c r="U226" s="3"/>
      <c r="V226" s="3"/>
      <c r="W226" s="3"/>
    </row>
    <row r="227" ht="15.75" customHeight="1">
      <c r="A227" s="3" t="s">
        <v>28</v>
      </c>
      <c r="B227" s="3" t="s">
        <v>9</v>
      </c>
      <c r="C227" s="3" t="s">
        <v>10</v>
      </c>
      <c r="D227" s="4">
        <v>45677.0</v>
      </c>
      <c r="E227" s="3">
        <v>50.0</v>
      </c>
      <c r="F227" s="5">
        <v>4.0</v>
      </c>
      <c r="G227" s="3">
        <v>3609.0</v>
      </c>
      <c r="H227" s="3" t="str">
        <f>VLOOKUP(B227,'Currency Table'!$M$3:$N$6,2, FALSE)</f>
        <v>PLN</v>
      </c>
      <c r="I227" s="3"/>
      <c r="J227" s="3"/>
      <c r="K227" s="3"/>
      <c r="L227" s="3"/>
      <c r="M227" s="3"/>
      <c r="N227" s="3"/>
      <c r="O227" s="7"/>
      <c r="P227" s="3"/>
      <c r="Q227" s="3"/>
      <c r="R227" s="3"/>
      <c r="S227" s="3"/>
      <c r="T227" s="3"/>
      <c r="U227" s="3"/>
      <c r="V227" s="3"/>
      <c r="W227" s="3"/>
    </row>
    <row r="228" ht="15.75" customHeight="1">
      <c r="A228" s="3" t="s">
        <v>53</v>
      </c>
      <c r="B228" s="3" t="s">
        <v>9</v>
      </c>
      <c r="C228" s="3" t="s">
        <v>14</v>
      </c>
      <c r="D228" s="4">
        <v>45677.0</v>
      </c>
      <c r="E228" s="3">
        <v>65.0</v>
      </c>
      <c r="F228" s="5">
        <v>0.0</v>
      </c>
      <c r="G228" s="3">
        <v>4081.0</v>
      </c>
      <c r="H228" s="3" t="str">
        <f>VLOOKUP(B228,'Currency Table'!$M$3:$N$6,2, FALSE)</f>
        <v>PLN</v>
      </c>
      <c r="I228" s="3"/>
      <c r="J228" s="3"/>
      <c r="K228" s="3"/>
      <c r="L228" s="3"/>
      <c r="M228" s="3"/>
      <c r="N228" s="3"/>
      <c r="O228" s="7"/>
      <c r="P228" s="3"/>
      <c r="Q228" s="3"/>
      <c r="R228" s="3"/>
      <c r="S228" s="3"/>
      <c r="T228" s="3"/>
      <c r="U228" s="3"/>
      <c r="V228" s="3"/>
      <c r="W228" s="3"/>
    </row>
    <row r="229" ht="15.75" customHeight="1">
      <c r="A229" s="3" t="s">
        <v>20</v>
      </c>
      <c r="B229" s="3" t="s">
        <v>9</v>
      </c>
      <c r="C229" s="3" t="s">
        <v>12</v>
      </c>
      <c r="D229" s="4">
        <v>45677.0</v>
      </c>
      <c r="E229" s="3">
        <v>67.0</v>
      </c>
      <c r="F229" s="5">
        <v>1.0</v>
      </c>
      <c r="G229" s="3">
        <v>4090.0</v>
      </c>
      <c r="H229" s="3" t="str">
        <f>VLOOKUP(B229,'Currency Table'!$M$3:$N$6,2, FALSE)</f>
        <v>PLN</v>
      </c>
      <c r="I229" s="3"/>
      <c r="J229" s="3"/>
      <c r="K229" s="3"/>
      <c r="L229" s="3"/>
      <c r="M229" s="3"/>
      <c r="N229" s="3"/>
      <c r="O229" s="7"/>
      <c r="P229" s="3"/>
      <c r="Q229" s="3"/>
      <c r="R229" s="3"/>
      <c r="S229" s="3"/>
      <c r="T229" s="3"/>
      <c r="U229" s="3"/>
      <c r="V229" s="3"/>
      <c r="W229" s="3"/>
    </row>
    <row r="230" ht="15.75" customHeight="1">
      <c r="A230" s="3" t="s">
        <v>26</v>
      </c>
      <c r="B230" s="3" t="s">
        <v>9</v>
      </c>
      <c r="C230" s="3" t="s">
        <v>12</v>
      </c>
      <c r="D230" s="4">
        <v>45677.0</v>
      </c>
      <c r="E230" s="3">
        <v>63.0</v>
      </c>
      <c r="F230" s="5">
        <v>3.0</v>
      </c>
      <c r="G230" s="3">
        <v>4331.0</v>
      </c>
      <c r="H230" s="3" t="str">
        <f>VLOOKUP(B230,'Currency Table'!$M$3:$N$6,2, FALSE)</f>
        <v>PLN</v>
      </c>
      <c r="I230" s="3"/>
      <c r="J230" s="3"/>
      <c r="K230" s="3"/>
      <c r="L230" s="3"/>
      <c r="M230" s="3"/>
      <c r="N230" s="3"/>
      <c r="O230" s="7"/>
      <c r="P230" s="3"/>
      <c r="Q230" s="3"/>
      <c r="R230" s="3"/>
      <c r="S230" s="3"/>
      <c r="T230" s="3"/>
      <c r="U230" s="3"/>
      <c r="V230" s="3"/>
      <c r="W230" s="3"/>
    </row>
    <row r="231" ht="15.75" customHeight="1">
      <c r="A231" s="3" t="s">
        <v>17</v>
      </c>
      <c r="B231" s="3" t="s">
        <v>9</v>
      </c>
      <c r="C231" s="3" t="s">
        <v>16</v>
      </c>
      <c r="D231" s="4">
        <v>45677.0</v>
      </c>
      <c r="E231" s="3">
        <v>24.0</v>
      </c>
      <c r="F231" s="5">
        <v>2.0</v>
      </c>
      <c r="G231" s="3">
        <v>1333.0</v>
      </c>
      <c r="H231" s="3" t="str">
        <f>VLOOKUP(B231,'Currency Table'!$M$3:$N$6,2, FALSE)</f>
        <v>PLN</v>
      </c>
      <c r="I231" s="3"/>
      <c r="J231" s="3"/>
      <c r="K231" s="3"/>
      <c r="L231" s="3"/>
      <c r="M231" s="3"/>
      <c r="N231" s="3"/>
      <c r="O231" s="7"/>
      <c r="P231" s="3"/>
      <c r="Q231" s="3"/>
      <c r="R231" s="3"/>
      <c r="S231" s="3"/>
      <c r="T231" s="3"/>
      <c r="U231" s="3"/>
      <c r="V231" s="3"/>
      <c r="W231" s="3"/>
    </row>
    <row r="232" ht="15.75" customHeight="1">
      <c r="A232" s="3" t="s">
        <v>64</v>
      </c>
      <c r="B232" s="3" t="s">
        <v>9</v>
      </c>
      <c r="C232" s="3" t="s">
        <v>14</v>
      </c>
      <c r="D232" s="4">
        <v>45677.0</v>
      </c>
      <c r="E232" s="3">
        <v>29.0</v>
      </c>
      <c r="F232" s="5">
        <v>2.0</v>
      </c>
      <c r="G232" s="3">
        <v>1701.0</v>
      </c>
      <c r="H232" s="3" t="str">
        <f>VLOOKUP(B232,'Currency Table'!$M$3:$N$6,2, FALSE)</f>
        <v>PLN</v>
      </c>
      <c r="I232" s="3"/>
      <c r="J232" s="3"/>
      <c r="K232" s="3"/>
      <c r="L232" s="3"/>
      <c r="M232" s="3"/>
      <c r="N232" s="3"/>
      <c r="O232" s="7"/>
      <c r="P232" s="3"/>
      <c r="Q232" s="3"/>
      <c r="R232" s="3"/>
      <c r="S232" s="3"/>
      <c r="T232" s="3"/>
      <c r="U232" s="3"/>
      <c r="V232" s="3"/>
      <c r="W232" s="3"/>
    </row>
    <row r="233" ht="15.75" customHeight="1">
      <c r="A233" s="3" t="s">
        <v>33</v>
      </c>
      <c r="B233" s="3" t="s">
        <v>9</v>
      </c>
      <c r="C233" s="3" t="s">
        <v>10</v>
      </c>
      <c r="D233" s="4">
        <v>45677.0</v>
      </c>
      <c r="E233" s="3">
        <v>53.0</v>
      </c>
      <c r="F233" s="5">
        <v>1.0</v>
      </c>
      <c r="G233" s="3">
        <v>3853.0</v>
      </c>
      <c r="H233" s="3" t="str">
        <f>VLOOKUP(B233,'Currency Table'!$M$3:$N$6,2, FALSE)</f>
        <v>PLN</v>
      </c>
      <c r="I233" s="3"/>
      <c r="J233" s="3"/>
      <c r="K233" s="3"/>
      <c r="L233" s="3"/>
      <c r="M233" s="3"/>
      <c r="N233" s="3"/>
      <c r="O233" s="7"/>
      <c r="P233" s="3"/>
      <c r="Q233" s="3"/>
      <c r="R233" s="3"/>
      <c r="S233" s="3"/>
      <c r="T233" s="3"/>
      <c r="U233" s="3"/>
      <c r="V233" s="3"/>
      <c r="W233" s="3"/>
    </row>
    <row r="234" ht="15.75" customHeight="1">
      <c r="A234" s="3" t="s">
        <v>21</v>
      </c>
      <c r="B234" s="3" t="s">
        <v>9</v>
      </c>
      <c r="C234" s="3" t="s">
        <v>16</v>
      </c>
      <c r="D234" s="4">
        <v>45677.0</v>
      </c>
      <c r="E234" s="3">
        <v>61.0</v>
      </c>
      <c r="F234" s="5">
        <v>1.0</v>
      </c>
      <c r="G234" s="3">
        <v>4385.0</v>
      </c>
      <c r="H234" s="3" t="str">
        <f>VLOOKUP(B234,'Currency Table'!$M$3:$N$6,2, FALSE)</f>
        <v>PLN</v>
      </c>
      <c r="I234" s="3"/>
      <c r="J234" s="3"/>
      <c r="K234" s="3"/>
      <c r="L234" s="3"/>
      <c r="M234" s="3"/>
      <c r="N234" s="3"/>
      <c r="O234" s="7"/>
      <c r="P234" s="3"/>
      <c r="Q234" s="3"/>
      <c r="R234" s="3"/>
      <c r="S234" s="3"/>
      <c r="T234" s="3"/>
      <c r="U234" s="3"/>
      <c r="V234" s="3"/>
      <c r="W234" s="3"/>
    </row>
    <row r="235" ht="15.75" customHeight="1">
      <c r="A235" s="3" t="s">
        <v>36</v>
      </c>
      <c r="B235" s="3" t="s">
        <v>9</v>
      </c>
      <c r="C235" s="3" t="s">
        <v>30</v>
      </c>
      <c r="D235" s="4">
        <v>45677.0</v>
      </c>
      <c r="E235" s="3">
        <v>59.0</v>
      </c>
      <c r="F235" s="5">
        <v>2.0</v>
      </c>
      <c r="G235" s="3">
        <v>3340.0</v>
      </c>
      <c r="H235" s="3" t="str">
        <f>VLOOKUP(B235,'Currency Table'!$M$3:$N$6,2, FALSE)</f>
        <v>PLN</v>
      </c>
      <c r="I235" s="3"/>
      <c r="J235" s="3"/>
      <c r="K235" s="3"/>
      <c r="L235" s="3"/>
      <c r="M235" s="3"/>
      <c r="N235" s="3"/>
      <c r="O235" s="7"/>
      <c r="P235" s="3"/>
      <c r="Q235" s="3"/>
      <c r="R235" s="3"/>
      <c r="S235" s="3"/>
      <c r="T235" s="3"/>
      <c r="U235" s="3"/>
      <c r="V235" s="3"/>
      <c r="W235" s="3"/>
    </row>
    <row r="236" ht="15.75" customHeight="1">
      <c r="A236" s="3" t="s">
        <v>45</v>
      </c>
      <c r="B236" s="3" t="s">
        <v>9</v>
      </c>
      <c r="C236" s="3" t="s">
        <v>30</v>
      </c>
      <c r="D236" s="4">
        <v>45677.0</v>
      </c>
      <c r="E236" s="3">
        <v>62.0</v>
      </c>
      <c r="F236" s="5">
        <v>1.0</v>
      </c>
      <c r="G236" s="3">
        <v>4351.0</v>
      </c>
      <c r="H236" s="3" t="str">
        <f>VLOOKUP(B236,'Currency Table'!$M$3:$N$6,2, FALSE)</f>
        <v>PLN</v>
      </c>
      <c r="I236" s="3"/>
      <c r="J236" s="3"/>
      <c r="K236" s="3"/>
      <c r="L236" s="3"/>
      <c r="M236" s="3"/>
      <c r="N236" s="3"/>
      <c r="O236" s="7"/>
      <c r="P236" s="3"/>
      <c r="Q236" s="3"/>
      <c r="R236" s="3"/>
      <c r="S236" s="3"/>
      <c r="T236" s="3"/>
      <c r="U236" s="3"/>
      <c r="V236" s="3"/>
      <c r="W236" s="3"/>
    </row>
    <row r="237" ht="15.75" customHeight="1">
      <c r="A237" s="3" t="s">
        <v>46</v>
      </c>
      <c r="B237" s="3" t="s">
        <v>9</v>
      </c>
      <c r="C237" s="3" t="s">
        <v>30</v>
      </c>
      <c r="D237" s="4">
        <v>45677.0</v>
      </c>
      <c r="E237" s="3">
        <v>54.0</v>
      </c>
      <c r="F237" s="5">
        <v>0.0</v>
      </c>
      <c r="G237" s="3">
        <v>3005.0</v>
      </c>
      <c r="H237" s="3" t="str">
        <f>VLOOKUP(B237,'Currency Table'!$M$3:$N$6,2, FALSE)</f>
        <v>PLN</v>
      </c>
      <c r="I237" s="3"/>
      <c r="J237" s="3"/>
      <c r="K237" s="3"/>
      <c r="L237" s="3"/>
      <c r="M237" s="3"/>
      <c r="N237" s="3"/>
      <c r="O237" s="7"/>
      <c r="P237" s="3"/>
      <c r="Q237" s="3"/>
      <c r="R237" s="3"/>
      <c r="S237" s="3"/>
      <c r="T237" s="3"/>
      <c r="U237" s="3"/>
      <c r="V237" s="3"/>
      <c r="W237" s="3"/>
    </row>
    <row r="238" ht="15.75" customHeight="1">
      <c r="A238" s="3" t="s">
        <v>76</v>
      </c>
      <c r="B238" s="3" t="s">
        <v>9</v>
      </c>
      <c r="C238" s="3" t="s">
        <v>14</v>
      </c>
      <c r="D238" s="4">
        <v>45677.0</v>
      </c>
      <c r="E238" s="3">
        <v>66.0</v>
      </c>
      <c r="F238" s="5">
        <v>4.0</v>
      </c>
      <c r="G238" s="3">
        <v>4041.0</v>
      </c>
      <c r="H238" s="3" t="str">
        <f>VLOOKUP(B238,'Currency Table'!$M$3:$N$6,2, FALSE)</f>
        <v>PLN</v>
      </c>
      <c r="I238" s="3"/>
      <c r="J238" s="3"/>
      <c r="K238" s="3"/>
      <c r="L238" s="3"/>
      <c r="M238" s="3"/>
      <c r="N238" s="3"/>
      <c r="O238" s="7"/>
      <c r="P238" s="3"/>
      <c r="Q238" s="3"/>
      <c r="R238" s="3"/>
      <c r="S238" s="3"/>
      <c r="T238" s="3"/>
      <c r="U238" s="3"/>
      <c r="V238" s="3"/>
      <c r="W238" s="3"/>
    </row>
    <row r="239" ht="15.75" customHeight="1">
      <c r="A239" s="3" t="s">
        <v>63</v>
      </c>
      <c r="B239" s="3" t="s">
        <v>9</v>
      </c>
      <c r="C239" s="3" t="s">
        <v>30</v>
      </c>
      <c r="D239" s="4">
        <v>45677.0</v>
      </c>
      <c r="E239" s="3">
        <v>54.0</v>
      </c>
      <c r="F239" s="5">
        <v>0.0</v>
      </c>
      <c r="G239" s="3">
        <v>3368.0</v>
      </c>
      <c r="H239" s="3" t="str">
        <f>VLOOKUP(B239,'Currency Table'!$M$3:$N$6,2, FALSE)</f>
        <v>PLN</v>
      </c>
      <c r="I239" s="3"/>
      <c r="J239" s="3"/>
      <c r="K239" s="3"/>
      <c r="L239" s="3"/>
      <c r="M239" s="3"/>
      <c r="N239" s="3"/>
      <c r="O239" s="7"/>
      <c r="P239" s="3"/>
      <c r="Q239" s="3"/>
      <c r="R239" s="3"/>
      <c r="S239" s="3"/>
      <c r="T239" s="3"/>
      <c r="U239" s="3"/>
      <c r="V239" s="3"/>
      <c r="W239" s="3"/>
    </row>
    <row r="240" ht="15.75" customHeight="1">
      <c r="A240" s="3" t="s">
        <v>43</v>
      </c>
      <c r="B240" s="3" t="s">
        <v>9</v>
      </c>
      <c r="C240" s="3" t="s">
        <v>16</v>
      </c>
      <c r="D240" s="4">
        <v>45677.0</v>
      </c>
      <c r="E240" s="3">
        <v>18.0</v>
      </c>
      <c r="F240" s="5">
        <v>1.0</v>
      </c>
      <c r="G240" s="3">
        <v>1407.0</v>
      </c>
      <c r="H240" s="3" t="str">
        <f>VLOOKUP(B240,'Currency Table'!$M$3:$N$6,2, FALSE)</f>
        <v>PLN</v>
      </c>
      <c r="I240" s="3"/>
      <c r="J240" s="3"/>
      <c r="K240" s="3"/>
      <c r="L240" s="3"/>
      <c r="M240" s="3"/>
      <c r="N240" s="3"/>
      <c r="O240" s="7"/>
      <c r="P240" s="3"/>
      <c r="Q240" s="3"/>
      <c r="R240" s="3"/>
      <c r="S240" s="3"/>
      <c r="T240" s="3"/>
      <c r="U240" s="3"/>
      <c r="V240" s="3"/>
      <c r="W240" s="3"/>
    </row>
    <row r="241" ht="15.75" customHeight="1">
      <c r="A241" s="3" t="s">
        <v>31</v>
      </c>
      <c r="B241" s="3" t="s">
        <v>9</v>
      </c>
      <c r="C241" s="3" t="s">
        <v>12</v>
      </c>
      <c r="D241" s="4">
        <v>45677.0</v>
      </c>
      <c r="E241" s="3">
        <v>36.0</v>
      </c>
      <c r="F241" s="5">
        <v>6.0</v>
      </c>
      <c r="G241" s="3">
        <v>2561.0</v>
      </c>
      <c r="H241" s="3" t="str">
        <f>VLOOKUP(B241,'Currency Table'!$M$3:$N$6,2, FALSE)</f>
        <v>PLN</v>
      </c>
      <c r="I241" s="3"/>
      <c r="J241" s="3"/>
      <c r="K241" s="3"/>
      <c r="L241" s="3"/>
      <c r="M241" s="3"/>
      <c r="N241" s="3"/>
      <c r="O241" s="7"/>
      <c r="P241" s="3"/>
      <c r="Q241" s="3"/>
      <c r="R241" s="3"/>
      <c r="S241" s="3"/>
      <c r="T241" s="3"/>
      <c r="U241" s="3"/>
      <c r="V241" s="3"/>
      <c r="W241" s="3"/>
    </row>
    <row r="242" ht="15.75" customHeight="1">
      <c r="A242" s="3" t="s">
        <v>47</v>
      </c>
      <c r="B242" s="3" t="s">
        <v>9</v>
      </c>
      <c r="C242" s="3" t="s">
        <v>16</v>
      </c>
      <c r="D242" s="4">
        <v>45677.0</v>
      </c>
      <c r="E242" s="3">
        <v>14.0</v>
      </c>
      <c r="F242" s="5">
        <v>4.0</v>
      </c>
      <c r="G242" s="3">
        <v>1269.0</v>
      </c>
      <c r="H242" s="3" t="str">
        <f>VLOOKUP(B242,'Currency Table'!$M$3:$N$6,2, FALSE)</f>
        <v>PLN</v>
      </c>
      <c r="I242" s="3"/>
      <c r="J242" s="3"/>
      <c r="K242" s="3"/>
      <c r="L242" s="3"/>
      <c r="M242" s="3"/>
      <c r="N242" s="3"/>
      <c r="O242" s="7"/>
      <c r="P242" s="3"/>
      <c r="Q242" s="3"/>
      <c r="R242" s="3"/>
      <c r="S242" s="3"/>
      <c r="T242" s="3"/>
      <c r="U242" s="3"/>
      <c r="V242" s="3"/>
      <c r="W242" s="3"/>
    </row>
    <row r="243" ht="15.75" customHeight="1">
      <c r="A243" s="3" t="s">
        <v>40</v>
      </c>
      <c r="B243" s="3" t="s">
        <v>9</v>
      </c>
      <c r="C243" s="3" t="s">
        <v>12</v>
      </c>
      <c r="D243" s="4">
        <v>45677.0</v>
      </c>
      <c r="E243" s="3">
        <v>46.0</v>
      </c>
      <c r="F243" s="5">
        <v>5.0</v>
      </c>
      <c r="G243" s="3">
        <v>3369.0</v>
      </c>
      <c r="H243" s="3" t="str">
        <f>VLOOKUP(B243,'Currency Table'!$M$3:$N$6,2, FALSE)</f>
        <v>PLN</v>
      </c>
      <c r="I243" s="3"/>
      <c r="J243" s="3"/>
      <c r="K243" s="3"/>
      <c r="L243" s="3"/>
      <c r="M243" s="3"/>
      <c r="N243" s="3"/>
      <c r="O243" s="7"/>
      <c r="P243" s="3"/>
      <c r="Q243" s="3"/>
      <c r="R243" s="3"/>
      <c r="S243" s="3"/>
      <c r="T243" s="3"/>
      <c r="U243" s="3"/>
      <c r="V243" s="3"/>
      <c r="W243" s="3"/>
    </row>
    <row r="244" ht="15.75" customHeight="1">
      <c r="A244" s="3" t="s">
        <v>68</v>
      </c>
      <c r="B244" s="3" t="s">
        <v>9</v>
      </c>
      <c r="C244" s="3" t="s">
        <v>30</v>
      </c>
      <c r="D244" s="4">
        <v>45677.0</v>
      </c>
      <c r="E244" s="3">
        <v>66.0</v>
      </c>
      <c r="F244" s="5">
        <v>4.0</v>
      </c>
      <c r="G244" s="3">
        <v>4431.0</v>
      </c>
      <c r="H244" s="3" t="str">
        <f>VLOOKUP(B244,'Currency Table'!$M$3:$N$6,2, FALSE)</f>
        <v>PLN</v>
      </c>
      <c r="I244" s="3"/>
      <c r="J244" s="3"/>
      <c r="K244" s="3"/>
      <c r="L244" s="3"/>
      <c r="M244" s="3"/>
      <c r="N244" s="3"/>
      <c r="O244" s="7"/>
      <c r="P244" s="3"/>
      <c r="Q244" s="3"/>
      <c r="R244" s="3"/>
      <c r="S244" s="3"/>
      <c r="T244" s="3"/>
      <c r="U244" s="3"/>
      <c r="V244" s="3"/>
      <c r="W244" s="3"/>
    </row>
    <row r="245" ht="16.5" customHeight="1">
      <c r="A245" s="3" t="s">
        <v>68</v>
      </c>
      <c r="B245" s="3" t="s">
        <v>9</v>
      </c>
      <c r="C245" s="3" t="s">
        <v>30</v>
      </c>
      <c r="D245" s="4">
        <v>45677.0</v>
      </c>
      <c r="E245" s="3">
        <v>66.0</v>
      </c>
      <c r="F245" s="5">
        <v>4.0</v>
      </c>
      <c r="G245" s="3">
        <v>4431.0</v>
      </c>
      <c r="H245" s="3" t="str">
        <f>VLOOKUP(B245,'Currency Table'!$M$3:$N$6,2, FALSE)</f>
        <v>PLN</v>
      </c>
      <c r="I245" s="3"/>
      <c r="J245" s="3"/>
      <c r="K245" s="3"/>
      <c r="L245" s="3"/>
      <c r="M245" s="3"/>
      <c r="N245" s="3"/>
      <c r="O245" s="7"/>
      <c r="P245" s="3"/>
      <c r="Q245" s="3"/>
      <c r="R245" s="3"/>
      <c r="S245" s="3"/>
      <c r="T245" s="3"/>
      <c r="U245" s="3"/>
      <c r="V245" s="3"/>
      <c r="W245" s="3"/>
    </row>
    <row r="246" ht="15.75" customHeight="1">
      <c r="A246" s="3" t="s">
        <v>68</v>
      </c>
      <c r="B246" s="3" t="s">
        <v>9</v>
      </c>
      <c r="C246" s="3" t="s">
        <v>30</v>
      </c>
      <c r="D246" s="4">
        <v>45677.0</v>
      </c>
      <c r="E246" s="3">
        <v>66.0</v>
      </c>
      <c r="F246" s="5">
        <v>4.0</v>
      </c>
      <c r="G246" s="3">
        <v>4431.0</v>
      </c>
      <c r="H246" s="3" t="str">
        <f>VLOOKUP(B246,'Currency Table'!$M$3:$N$6,2, FALSE)</f>
        <v>PLN</v>
      </c>
      <c r="I246" s="3"/>
      <c r="J246" s="3"/>
      <c r="K246" s="3"/>
      <c r="L246" s="3"/>
      <c r="M246" s="3"/>
      <c r="N246" s="3"/>
      <c r="O246" s="7"/>
      <c r="P246" s="3"/>
      <c r="Q246" s="3"/>
      <c r="R246" s="3"/>
      <c r="S246" s="3"/>
      <c r="T246" s="3"/>
      <c r="U246" s="3"/>
      <c r="V246" s="3"/>
      <c r="W246" s="3"/>
    </row>
    <row r="247" ht="15.75" customHeight="1">
      <c r="A247" s="3" t="s">
        <v>68</v>
      </c>
      <c r="B247" s="3" t="s">
        <v>9</v>
      </c>
      <c r="C247" s="3" t="s">
        <v>30</v>
      </c>
      <c r="D247" s="4">
        <v>45677.0</v>
      </c>
      <c r="E247" s="3">
        <v>66.0</v>
      </c>
      <c r="F247" s="5">
        <v>4.0</v>
      </c>
      <c r="G247" s="3">
        <v>4431.0</v>
      </c>
      <c r="H247" s="3" t="str">
        <f>VLOOKUP(B247,'Currency Table'!$M$3:$N$6,2, FALSE)</f>
        <v>PLN</v>
      </c>
      <c r="I247" s="3"/>
      <c r="J247" s="3"/>
      <c r="K247" s="3"/>
      <c r="L247" s="3"/>
      <c r="M247" s="3"/>
      <c r="N247" s="3"/>
      <c r="O247" s="7"/>
      <c r="P247" s="3"/>
      <c r="Q247" s="3"/>
      <c r="R247" s="3"/>
      <c r="S247" s="3"/>
      <c r="T247" s="3"/>
      <c r="U247" s="3"/>
      <c r="V247" s="3"/>
      <c r="W247" s="3"/>
    </row>
    <row r="248" ht="15.75" customHeight="1">
      <c r="A248" s="3" t="s">
        <v>82</v>
      </c>
      <c r="B248" s="3" t="s">
        <v>9</v>
      </c>
      <c r="C248" s="3" t="s">
        <v>14</v>
      </c>
      <c r="D248" s="4">
        <v>45677.0</v>
      </c>
      <c r="E248" s="3">
        <v>47.0</v>
      </c>
      <c r="F248" s="5">
        <v>3.0</v>
      </c>
      <c r="G248" s="3">
        <v>3091.0</v>
      </c>
      <c r="H248" s="3" t="str">
        <f>VLOOKUP(B248,'Currency Table'!$M$3:$N$6,2, FALSE)</f>
        <v>PLN</v>
      </c>
      <c r="I248" s="3"/>
      <c r="J248" s="3"/>
      <c r="K248" s="3"/>
      <c r="L248" s="3"/>
      <c r="M248" s="3"/>
      <c r="N248" s="3"/>
      <c r="O248" s="7"/>
      <c r="P248" s="3"/>
      <c r="Q248" s="3"/>
      <c r="R248" s="3"/>
      <c r="S248" s="3"/>
      <c r="T248" s="3"/>
      <c r="U248" s="3"/>
      <c r="V248" s="3"/>
      <c r="W248" s="3"/>
    </row>
    <row r="249" ht="15.75" customHeight="1">
      <c r="A249" s="3" t="s">
        <v>75</v>
      </c>
      <c r="B249" s="3" t="s">
        <v>9</v>
      </c>
      <c r="C249" s="3" t="s">
        <v>30</v>
      </c>
      <c r="D249" s="4">
        <v>45677.0</v>
      </c>
      <c r="E249" s="3">
        <v>40.0</v>
      </c>
      <c r="F249" s="5">
        <v>2.0</v>
      </c>
      <c r="G249" s="3">
        <v>2303.0</v>
      </c>
      <c r="H249" s="3" t="str">
        <f>VLOOKUP(B249,'Currency Table'!$M$3:$N$6,2, FALSE)</f>
        <v>PLN</v>
      </c>
      <c r="I249" s="3"/>
      <c r="J249" s="3"/>
      <c r="K249" s="3"/>
      <c r="L249" s="3"/>
      <c r="M249" s="3"/>
      <c r="N249" s="3"/>
      <c r="O249" s="7"/>
      <c r="P249" s="3"/>
      <c r="Q249" s="3"/>
      <c r="R249" s="3"/>
      <c r="S249" s="3"/>
      <c r="T249" s="3"/>
      <c r="U249" s="3"/>
      <c r="V249" s="3"/>
      <c r="W249" s="3"/>
    </row>
    <row r="250" ht="15.75" customHeight="1">
      <c r="A250" s="3" t="s">
        <v>78</v>
      </c>
      <c r="B250" s="3" t="s">
        <v>9</v>
      </c>
      <c r="C250" s="3" t="s">
        <v>30</v>
      </c>
      <c r="D250" s="4">
        <v>45677.0</v>
      </c>
      <c r="E250" s="3">
        <v>43.0</v>
      </c>
      <c r="F250" s="5">
        <v>5.0</v>
      </c>
      <c r="G250" s="3">
        <v>2039.0</v>
      </c>
      <c r="H250" s="3" t="str">
        <f>VLOOKUP(B250,'Currency Table'!$M$3:$N$6,2, FALSE)</f>
        <v>PLN</v>
      </c>
      <c r="I250" s="3"/>
      <c r="J250" s="3"/>
      <c r="K250" s="3"/>
      <c r="L250" s="3"/>
      <c r="M250" s="3"/>
      <c r="N250" s="3"/>
      <c r="O250" s="7"/>
      <c r="P250" s="3"/>
      <c r="Q250" s="3"/>
      <c r="R250" s="3"/>
      <c r="S250" s="3"/>
      <c r="T250" s="3"/>
      <c r="U250" s="3"/>
      <c r="V250" s="3"/>
      <c r="W250" s="3"/>
    </row>
    <row r="251" ht="15.75" customHeight="1">
      <c r="A251" s="3" t="s">
        <v>80</v>
      </c>
      <c r="B251" s="3" t="s">
        <v>9</v>
      </c>
      <c r="C251" s="3" t="s">
        <v>30</v>
      </c>
      <c r="D251" s="4">
        <v>45677.0</v>
      </c>
      <c r="E251" s="3">
        <v>58.0</v>
      </c>
      <c r="F251" s="5">
        <v>0.0</v>
      </c>
      <c r="G251" s="3">
        <v>3146.0</v>
      </c>
      <c r="H251" s="3" t="str">
        <f>VLOOKUP(B251,'Currency Table'!$M$3:$N$6,2, FALSE)</f>
        <v>PLN</v>
      </c>
      <c r="I251" s="3"/>
      <c r="J251" s="3"/>
      <c r="K251" s="3"/>
      <c r="L251" s="3"/>
      <c r="M251" s="3"/>
      <c r="N251" s="3"/>
      <c r="O251" s="7"/>
      <c r="P251" s="3"/>
      <c r="Q251" s="3"/>
      <c r="R251" s="3"/>
      <c r="S251" s="3"/>
      <c r="T251" s="3"/>
      <c r="U251" s="3"/>
      <c r="V251" s="3"/>
      <c r="W251" s="3"/>
    </row>
    <row r="252" ht="15.75" customHeight="1">
      <c r="A252" s="3" t="s">
        <v>48</v>
      </c>
      <c r="B252" s="3" t="s">
        <v>9</v>
      </c>
      <c r="C252" s="3" t="s">
        <v>16</v>
      </c>
      <c r="D252" s="4">
        <v>45677.0</v>
      </c>
      <c r="E252" s="3">
        <v>62.0</v>
      </c>
      <c r="F252" s="5">
        <v>4.0</v>
      </c>
      <c r="G252" s="3">
        <v>3988.0</v>
      </c>
      <c r="H252" s="3" t="str">
        <f>VLOOKUP(B252,'Currency Table'!$M$3:$N$6,2, FALSE)</f>
        <v>PLN</v>
      </c>
      <c r="I252" s="3"/>
      <c r="J252" s="3"/>
      <c r="K252" s="3"/>
      <c r="L252" s="3"/>
      <c r="M252" s="3"/>
      <c r="N252" s="3"/>
      <c r="O252" s="7"/>
      <c r="P252" s="3"/>
      <c r="Q252" s="3"/>
      <c r="R252" s="3"/>
      <c r="S252" s="3"/>
      <c r="T252" s="3"/>
      <c r="U252" s="3"/>
      <c r="V252" s="3"/>
      <c r="W252" s="3"/>
    </row>
    <row r="253" ht="15.75" customHeight="1">
      <c r="A253" s="3" t="s">
        <v>86</v>
      </c>
      <c r="B253" s="3" t="s">
        <v>9</v>
      </c>
      <c r="C253" s="3" t="s">
        <v>14</v>
      </c>
      <c r="D253" s="4">
        <v>45677.0</v>
      </c>
      <c r="E253" s="3">
        <v>58.0</v>
      </c>
      <c r="F253" s="5">
        <v>4.0</v>
      </c>
      <c r="G253" s="3">
        <v>3494.0</v>
      </c>
      <c r="H253" s="3" t="str">
        <f>VLOOKUP(B253,'Currency Table'!$M$3:$N$6,2, FALSE)</f>
        <v>PLN</v>
      </c>
      <c r="I253" s="3"/>
      <c r="J253" s="3"/>
      <c r="K253" s="3"/>
      <c r="L253" s="3"/>
      <c r="M253" s="3"/>
      <c r="N253" s="3"/>
      <c r="O253" s="7"/>
      <c r="P253" s="3"/>
      <c r="Q253" s="3"/>
      <c r="R253" s="3"/>
      <c r="S253" s="3"/>
      <c r="T253" s="3"/>
      <c r="U253" s="3"/>
      <c r="V253" s="3"/>
      <c r="W253" s="3"/>
    </row>
    <row r="254" ht="15.75" customHeight="1">
      <c r="A254" s="3" t="s">
        <v>97</v>
      </c>
      <c r="B254" s="3" t="s">
        <v>9</v>
      </c>
      <c r="C254" s="3" t="s">
        <v>30</v>
      </c>
      <c r="D254" s="4">
        <v>45677.0</v>
      </c>
      <c r="E254" s="3">
        <v>46.0</v>
      </c>
      <c r="F254" s="5">
        <v>2.0</v>
      </c>
      <c r="G254" s="3">
        <v>3769.0</v>
      </c>
      <c r="H254" s="3" t="str">
        <f>VLOOKUP(B254,'Currency Table'!$M$3:$N$6,2, FALSE)</f>
        <v>PLN</v>
      </c>
      <c r="I254" s="3"/>
      <c r="J254" s="3"/>
      <c r="K254" s="3"/>
      <c r="L254" s="3"/>
      <c r="M254" s="3"/>
      <c r="N254" s="3"/>
      <c r="O254" s="7"/>
      <c r="P254" s="3"/>
      <c r="Q254" s="3"/>
      <c r="R254" s="3"/>
      <c r="S254" s="3"/>
      <c r="T254" s="3"/>
      <c r="U254" s="3"/>
      <c r="V254" s="3"/>
      <c r="W254" s="3"/>
    </row>
    <row r="255" ht="15.75" customHeight="1">
      <c r="A255" s="3" t="s">
        <v>98</v>
      </c>
      <c r="B255" s="3" t="s">
        <v>9</v>
      </c>
      <c r="C255" s="3" t="s">
        <v>30</v>
      </c>
      <c r="D255" s="4">
        <v>45677.0</v>
      </c>
      <c r="E255" s="3">
        <v>69.0</v>
      </c>
      <c r="F255" s="5">
        <v>2.0</v>
      </c>
      <c r="G255" s="3">
        <v>3905.0</v>
      </c>
      <c r="H255" s="3" t="str">
        <f>VLOOKUP(B255,'Currency Table'!$M$3:$N$6,2, FALSE)</f>
        <v>PLN</v>
      </c>
      <c r="I255" s="3"/>
      <c r="J255" s="3"/>
      <c r="K255" s="3"/>
      <c r="L255" s="3"/>
      <c r="M255" s="3"/>
      <c r="N255" s="3"/>
      <c r="O255" s="7"/>
      <c r="P255" s="3"/>
      <c r="Q255" s="3"/>
      <c r="R255" s="3"/>
      <c r="S255" s="3"/>
      <c r="T255" s="3"/>
      <c r="U255" s="3"/>
      <c r="V255" s="3"/>
      <c r="W255" s="3"/>
    </row>
    <row r="256" ht="15.75" customHeight="1">
      <c r="A256" s="3" t="s">
        <v>35</v>
      </c>
      <c r="B256" s="3" t="s">
        <v>9</v>
      </c>
      <c r="C256" s="3" t="s">
        <v>10</v>
      </c>
      <c r="D256" s="4">
        <v>45677.0</v>
      </c>
      <c r="E256" s="3">
        <v>20.0</v>
      </c>
      <c r="F256" s="5">
        <v>5.0</v>
      </c>
      <c r="G256" s="3">
        <v>1282.0</v>
      </c>
      <c r="H256" s="3" t="str">
        <f>VLOOKUP(B256,'Currency Table'!$M$3:$N$6,2, FALSE)</f>
        <v>PLN</v>
      </c>
      <c r="I256" s="3"/>
      <c r="J256" s="3"/>
      <c r="K256" s="3"/>
      <c r="L256" s="3"/>
      <c r="M256" s="3"/>
      <c r="N256" s="3"/>
      <c r="O256" s="7"/>
      <c r="P256" s="3"/>
      <c r="Q256" s="3"/>
      <c r="R256" s="3"/>
      <c r="S256" s="3"/>
      <c r="T256" s="3"/>
      <c r="U256" s="3"/>
      <c r="V256" s="3"/>
      <c r="W256" s="3"/>
    </row>
    <row r="257" ht="15.75" customHeight="1">
      <c r="A257" s="3" t="s">
        <v>37</v>
      </c>
      <c r="B257" s="3" t="s">
        <v>9</v>
      </c>
      <c r="C257" s="3" t="s">
        <v>10</v>
      </c>
      <c r="D257" s="4">
        <v>45677.0</v>
      </c>
      <c r="E257" s="3">
        <v>23.0</v>
      </c>
      <c r="F257" s="5">
        <v>3.0</v>
      </c>
      <c r="G257" s="3">
        <v>1082.0</v>
      </c>
      <c r="H257" s="3" t="str">
        <f>VLOOKUP(B257,'Currency Table'!$M$3:$N$6,2, FALSE)</f>
        <v>PLN</v>
      </c>
      <c r="I257" s="3"/>
      <c r="J257" s="3"/>
      <c r="K257" s="3"/>
      <c r="L257" s="3"/>
      <c r="M257" s="3"/>
      <c r="N257" s="3"/>
      <c r="O257" s="7"/>
      <c r="P257" s="3"/>
      <c r="Q257" s="3"/>
      <c r="R257" s="3"/>
      <c r="S257" s="3"/>
      <c r="T257" s="3"/>
      <c r="U257" s="3"/>
      <c r="V257" s="3"/>
      <c r="W257" s="3"/>
    </row>
    <row r="258" ht="15.75" customHeight="1">
      <c r="A258" s="3" t="s">
        <v>60</v>
      </c>
      <c r="B258" s="3" t="s">
        <v>9</v>
      </c>
      <c r="C258" s="3" t="s">
        <v>23</v>
      </c>
      <c r="D258" s="4">
        <v>45677.0</v>
      </c>
      <c r="E258" s="3">
        <v>50.0</v>
      </c>
      <c r="F258" s="5">
        <v>5.0</v>
      </c>
      <c r="G258" s="3">
        <v>3721.0</v>
      </c>
      <c r="H258" s="3" t="str">
        <f>VLOOKUP(B258,'Currency Table'!$M$3:$N$6,2, FALSE)</f>
        <v>PLN</v>
      </c>
      <c r="I258" s="3"/>
      <c r="J258" s="3"/>
      <c r="K258" s="3"/>
      <c r="L258" s="3"/>
      <c r="M258" s="3"/>
      <c r="N258" s="3"/>
      <c r="O258" s="7"/>
      <c r="P258" s="3"/>
      <c r="Q258" s="3"/>
      <c r="R258" s="3"/>
      <c r="S258" s="3"/>
      <c r="T258" s="3"/>
      <c r="U258" s="3"/>
      <c r="V258" s="3"/>
      <c r="W258" s="3"/>
    </row>
    <row r="259" ht="15.75" customHeight="1">
      <c r="A259" s="3" t="s">
        <v>101</v>
      </c>
      <c r="B259" s="3" t="s">
        <v>9</v>
      </c>
      <c r="C259" s="3" t="s">
        <v>30</v>
      </c>
      <c r="D259" s="4">
        <v>45677.0</v>
      </c>
      <c r="E259" s="3">
        <v>42.0</v>
      </c>
      <c r="F259" s="5">
        <v>2.0</v>
      </c>
      <c r="G259" s="3">
        <v>2301.0</v>
      </c>
      <c r="H259" s="3" t="str">
        <f>VLOOKUP(B259,'Currency Table'!$M$3:$N$6,2, FALSE)</f>
        <v>PLN</v>
      </c>
      <c r="I259" s="3"/>
      <c r="J259" s="3"/>
      <c r="K259" s="3"/>
      <c r="L259" s="3"/>
      <c r="M259" s="3"/>
      <c r="N259" s="3"/>
      <c r="O259" s="7"/>
      <c r="P259" s="3"/>
      <c r="Q259" s="3"/>
      <c r="R259" s="3"/>
      <c r="S259" s="3"/>
      <c r="T259" s="3"/>
      <c r="U259" s="3"/>
      <c r="V259" s="3"/>
      <c r="W259" s="3"/>
    </row>
    <row r="260" ht="15.75" customHeight="1">
      <c r="A260" s="3" t="s">
        <v>99</v>
      </c>
      <c r="B260" s="3" t="s">
        <v>9</v>
      </c>
      <c r="C260" s="3" t="s">
        <v>14</v>
      </c>
      <c r="D260" s="4">
        <v>45677.0</v>
      </c>
      <c r="E260" s="3">
        <v>16.0</v>
      </c>
      <c r="F260" s="5">
        <v>1.0</v>
      </c>
      <c r="G260" s="3">
        <v>1162.0</v>
      </c>
      <c r="H260" s="3" t="str">
        <f>VLOOKUP(B260,'Currency Table'!$M$3:$N$6,2, FALSE)</f>
        <v>PLN</v>
      </c>
      <c r="I260" s="3"/>
      <c r="J260" s="3"/>
      <c r="K260" s="3"/>
      <c r="L260" s="3"/>
      <c r="M260" s="3"/>
      <c r="N260" s="3"/>
      <c r="O260" s="7"/>
      <c r="P260" s="3"/>
      <c r="Q260" s="3"/>
      <c r="R260" s="3"/>
      <c r="S260" s="3"/>
      <c r="T260" s="3"/>
      <c r="U260" s="3"/>
      <c r="V260" s="3"/>
      <c r="W260" s="3"/>
    </row>
    <row r="261" ht="15.75" customHeight="1">
      <c r="A261" s="3" t="s">
        <v>62</v>
      </c>
      <c r="B261" s="3" t="s">
        <v>9</v>
      </c>
      <c r="C261" s="3" t="s">
        <v>23</v>
      </c>
      <c r="D261" s="4">
        <v>45677.0</v>
      </c>
      <c r="E261" s="3">
        <v>13.0</v>
      </c>
      <c r="F261" s="5">
        <v>2.0</v>
      </c>
      <c r="G261" s="3">
        <v>1196.0</v>
      </c>
      <c r="H261" s="3" t="str">
        <f>VLOOKUP(B261,'Currency Table'!$M$3:$N$6,2, FALSE)</f>
        <v>PLN</v>
      </c>
      <c r="I261" s="3"/>
      <c r="J261" s="3"/>
      <c r="K261" s="3"/>
      <c r="L261" s="3"/>
      <c r="M261" s="3"/>
      <c r="N261" s="3"/>
      <c r="O261" s="7"/>
      <c r="P261" s="3"/>
      <c r="Q261" s="3"/>
      <c r="R261" s="3"/>
      <c r="S261" s="3"/>
      <c r="T261" s="3"/>
      <c r="U261" s="3"/>
      <c r="V261" s="3"/>
      <c r="W261" s="3"/>
    </row>
    <row r="262" ht="15.75" customHeight="1">
      <c r="A262" s="3" t="s">
        <v>66</v>
      </c>
      <c r="B262" s="3" t="s">
        <v>9</v>
      </c>
      <c r="C262" s="3" t="s">
        <v>23</v>
      </c>
      <c r="D262" s="4">
        <v>45677.0</v>
      </c>
      <c r="E262" s="3">
        <v>56.0</v>
      </c>
      <c r="F262" s="5">
        <v>2.0</v>
      </c>
      <c r="G262" s="3">
        <v>3392.0</v>
      </c>
      <c r="H262" s="3" t="str">
        <f>VLOOKUP(B262,'Currency Table'!$M$3:$N$6,2, FALSE)</f>
        <v>PLN</v>
      </c>
      <c r="I262" s="3"/>
      <c r="J262" s="3"/>
      <c r="K262" s="3"/>
      <c r="L262" s="3"/>
      <c r="M262" s="3"/>
      <c r="N262" s="3"/>
      <c r="O262" s="7"/>
      <c r="P262" s="3"/>
      <c r="Q262" s="3"/>
      <c r="R262" s="3"/>
      <c r="S262" s="3"/>
      <c r="T262" s="3"/>
      <c r="U262" s="3"/>
      <c r="V262" s="3"/>
      <c r="W262" s="3"/>
    </row>
    <row r="263" ht="15.75" customHeight="1">
      <c r="A263" s="3" t="s">
        <v>104</v>
      </c>
      <c r="B263" s="3" t="s">
        <v>9</v>
      </c>
      <c r="C263" s="3" t="s">
        <v>14</v>
      </c>
      <c r="D263" s="4">
        <v>45677.0</v>
      </c>
      <c r="E263" s="3">
        <v>13.0</v>
      </c>
      <c r="F263" s="5">
        <v>5.0</v>
      </c>
      <c r="G263" s="3">
        <v>1225.0</v>
      </c>
      <c r="H263" s="3" t="str">
        <f>VLOOKUP(B263,'Currency Table'!$M$3:$N$6,2, FALSE)</f>
        <v>PLN</v>
      </c>
      <c r="I263" s="3"/>
      <c r="J263" s="3"/>
      <c r="K263" s="3"/>
      <c r="L263" s="3"/>
      <c r="M263" s="3"/>
      <c r="N263" s="3"/>
      <c r="O263" s="7"/>
      <c r="P263" s="3"/>
      <c r="Q263" s="3"/>
      <c r="R263" s="3"/>
      <c r="S263" s="3"/>
      <c r="T263" s="3"/>
      <c r="U263" s="3"/>
      <c r="V263" s="3"/>
      <c r="W263" s="3"/>
    </row>
    <row r="264" ht="15.75" customHeight="1">
      <c r="A264" s="3" t="s">
        <v>59</v>
      </c>
      <c r="B264" s="3" t="s">
        <v>9</v>
      </c>
      <c r="C264" s="3" t="s">
        <v>12</v>
      </c>
      <c r="D264" s="4">
        <v>45677.0</v>
      </c>
      <c r="E264" s="3">
        <v>64.0</v>
      </c>
      <c r="F264" s="5">
        <v>3.0</v>
      </c>
      <c r="G264" s="3">
        <v>4299.0</v>
      </c>
      <c r="H264" s="3" t="str">
        <f>VLOOKUP(B264,'Currency Table'!$M$3:$N$6,2, FALSE)</f>
        <v>PLN</v>
      </c>
      <c r="I264" s="3"/>
      <c r="J264" s="3"/>
      <c r="K264" s="3"/>
      <c r="L264" s="3"/>
      <c r="M264" s="3"/>
      <c r="N264" s="3"/>
      <c r="O264" s="7"/>
      <c r="P264" s="3"/>
      <c r="Q264" s="3"/>
      <c r="R264" s="3"/>
      <c r="S264" s="3"/>
      <c r="T264" s="3"/>
      <c r="U264" s="3"/>
      <c r="V264" s="3"/>
      <c r="W264" s="3"/>
    </row>
    <row r="265" ht="15.75" customHeight="1">
      <c r="A265" s="3" t="s">
        <v>50</v>
      </c>
      <c r="B265" s="3" t="s">
        <v>9</v>
      </c>
      <c r="C265" s="3" t="s">
        <v>16</v>
      </c>
      <c r="D265" s="4">
        <v>45677.0</v>
      </c>
      <c r="E265" s="3">
        <v>26.0</v>
      </c>
      <c r="F265" s="5">
        <v>2.0</v>
      </c>
      <c r="G265" s="3">
        <v>1377.0</v>
      </c>
      <c r="H265" s="3" t="str">
        <f>VLOOKUP(B265,'Currency Table'!$M$3:$N$6,2, FALSE)</f>
        <v>PLN</v>
      </c>
      <c r="I265" s="3"/>
      <c r="J265" s="3"/>
      <c r="K265" s="3"/>
      <c r="L265" s="3"/>
      <c r="M265" s="3"/>
      <c r="N265" s="3"/>
      <c r="O265" s="7"/>
      <c r="P265" s="3"/>
      <c r="Q265" s="3"/>
      <c r="R265" s="3"/>
      <c r="S265" s="3"/>
      <c r="T265" s="3"/>
      <c r="U265" s="3"/>
      <c r="V265" s="3"/>
      <c r="W265" s="3"/>
    </row>
    <row r="266" ht="15.75" customHeight="1">
      <c r="A266" s="3" t="s">
        <v>105</v>
      </c>
      <c r="B266" s="3" t="s">
        <v>9</v>
      </c>
      <c r="C266" s="3" t="s">
        <v>14</v>
      </c>
      <c r="D266" s="4">
        <v>45677.0</v>
      </c>
      <c r="E266" s="3">
        <v>63.0</v>
      </c>
      <c r="F266" s="5">
        <v>1.0</v>
      </c>
      <c r="G266" s="3">
        <v>4161.0</v>
      </c>
      <c r="H266" s="3" t="str">
        <f>VLOOKUP(B266,'Currency Table'!$M$3:$N$6,2, FALSE)</f>
        <v>PLN</v>
      </c>
      <c r="I266" s="3"/>
      <c r="J266" s="3"/>
      <c r="K266" s="3"/>
      <c r="L266" s="3"/>
      <c r="M266" s="3"/>
      <c r="N266" s="3"/>
      <c r="O266" s="7"/>
      <c r="P266" s="3"/>
      <c r="Q266" s="3"/>
      <c r="R266" s="3"/>
      <c r="S266" s="3"/>
      <c r="T266" s="3"/>
      <c r="U266" s="3"/>
      <c r="V266" s="3"/>
      <c r="W266" s="3"/>
    </row>
    <row r="267" ht="15.75" customHeight="1">
      <c r="A267" s="3" t="s">
        <v>112</v>
      </c>
      <c r="B267" s="3" t="s">
        <v>9</v>
      </c>
      <c r="C267" s="3" t="s">
        <v>14</v>
      </c>
      <c r="D267" s="4">
        <v>45677.0</v>
      </c>
      <c r="E267" s="3">
        <v>24.0</v>
      </c>
      <c r="F267" s="5">
        <v>0.0</v>
      </c>
      <c r="G267" s="3">
        <v>1984.0</v>
      </c>
      <c r="H267" s="3" t="str">
        <f>VLOOKUP(B267,'Currency Table'!$M$3:$N$6,2, FALSE)</f>
        <v>PLN</v>
      </c>
      <c r="I267" s="3"/>
      <c r="J267" s="3"/>
      <c r="K267" s="3"/>
      <c r="L267" s="3"/>
      <c r="M267" s="3"/>
      <c r="N267" s="3"/>
      <c r="O267" s="7"/>
      <c r="P267" s="3"/>
      <c r="Q267" s="3"/>
      <c r="R267" s="3"/>
      <c r="S267" s="3"/>
      <c r="T267" s="3"/>
      <c r="U267" s="3"/>
      <c r="V267" s="3"/>
      <c r="W267" s="3"/>
    </row>
    <row r="268" ht="15.75" customHeight="1">
      <c r="A268" s="3" t="s">
        <v>61</v>
      </c>
      <c r="B268" s="3" t="s">
        <v>9</v>
      </c>
      <c r="C268" s="3" t="s">
        <v>12</v>
      </c>
      <c r="D268" s="4">
        <v>45677.0</v>
      </c>
      <c r="E268" s="3">
        <v>29.0</v>
      </c>
      <c r="F268" s="5">
        <v>1.0</v>
      </c>
      <c r="G268" s="3">
        <v>1164.0</v>
      </c>
      <c r="H268" s="3" t="str">
        <f>VLOOKUP(B268,'Currency Table'!$M$3:$N$6,2, FALSE)</f>
        <v>PLN</v>
      </c>
      <c r="I268" s="3"/>
      <c r="J268" s="3"/>
      <c r="K268" s="3"/>
      <c r="L268" s="3"/>
      <c r="M268" s="3"/>
      <c r="N268" s="3"/>
      <c r="O268" s="7"/>
      <c r="P268" s="3"/>
      <c r="Q268" s="3"/>
      <c r="R268" s="3"/>
      <c r="S268" s="3"/>
      <c r="T268" s="3"/>
      <c r="U268" s="3"/>
      <c r="V268" s="3"/>
      <c r="W268" s="3"/>
    </row>
    <row r="269" ht="15.75" customHeight="1">
      <c r="A269" s="3" t="s">
        <v>114</v>
      </c>
      <c r="B269" s="3" t="s">
        <v>9</v>
      </c>
      <c r="C269" s="3" t="s">
        <v>14</v>
      </c>
      <c r="D269" s="4">
        <v>45677.0</v>
      </c>
      <c r="E269" s="3">
        <v>62.0</v>
      </c>
      <c r="F269" s="5">
        <v>0.0</v>
      </c>
      <c r="G269" s="3">
        <v>4168.0</v>
      </c>
      <c r="H269" s="3" t="str">
        <f>VLOOKUP(B269,'Currency Table'!$M$3:$N$6,2, FALSE)</f>
        <v>PLN</v>
      </c>
      <c r="I269" s="3"/>
      <c r="J269" s="3"/>
      <c r="K269" s="3"/>
      <c r="L269" s="3"/>
      <c r="M269" s="3"/>
      <c r="N269" s="3"/>
      <c r="O269" s="7"/>
      <c r="P269" s="3"/>
      <c r="Q269" s="3"/>
      <c r="R269" s="3"/>
      <c r="S269" s="3"/>
      <c r="T269" s="3"/>
      <c r="U269" s="3"/>
      <c r="V269" s="3"/>
      <c r="W269" s="3"/>
    </row>
    <row r="270" ht="15.75" customHeight="1">
      <c r="A270" s="3" t="s">
        <v>124</v>
      </c>
      <c r="B270" s="3" t="s">
        <v>9</v>
      </c>
      <c r="C270" s="3" t="s">
        <v>14</v>
      </c>
      <c r="D270" s="4">
        <v>45677.0</v>
      </c>
      <c r="E270" s="3">
        <v>36.0</v>
      </c>
      <c r="F270" s="5">
        <v>0.0</v>
      </c>
      <c r="G270" s="3">
        <v>2844.0</v>
      </c>
      <c r="H270" s="3" t="str">
        <f>VLOOKUP(B270,'Currency Table'!$M$3:$N$6,2, FALSE)</f>
        <v>PLN</v>
      </c>
      <c r="I270" s="3"/>
      <c r="J270" s="3"/>
      <c r="K270" s="3"/>
      <c r="L270" s="3"/>
      <c r="M270" s="3"/>
      <c r="N270" s="3"/>
      <c r="O270" s="7"/>
      <c r="P270" s="3"/>
      <c r="Q270" s="3"/>
      <c r="R270" s="3"/>
      <c r="S270" s="3"/>
      <c r="T270" s="3"/>
      <c r="U270" s="3"/>
      <c r="V270" s="3"/>
      <c r="W270" s="3"/>
    </row>
    <row r="271" ht="15.75" customHeight="1">
      <c r="A271" s="3" t="s">
        <v>65</v>
      </c>
      <c r="B271" s="3" t="s">
        <v>9</v>
      </c>
      <c r="C271" s="3" t="s">
        <v>12</v>
      </c>
      <c r="D271" s="4">
        <v>45677.0</v>
      </c>
      <c r="E271" s="3">
        <v>33.0</v>
      </c>
      <c r="F271" s="5">
        <v>4.0</v>
      </c>
      <c r="G271" s="3">
        <v>2476.0</v>
      </c>
      <c r="H271" s="3" t="str">
        <f>VLOOKUP(B271,'Currency Table'!$M$3:$N$6,2, FALSE)</f>
        <v>PLN</v>
      </c>
      <c r="I271" s="3"/>
      <c r="J271" s="3"/>
      <c r="K271" s="3"/>
      <c r="L271" s="3"/>
      <c r="M271" s="3"/>
      <c r="N271" s="3"/>
      <c r="O271" s="7"/>
      <c r="P271" s="3"/>
      <c r="Q271" s="3"/>
      <c r="R271" s="3"/>
      <c r="S271" s="3"/>
      <c r="T271" s="3"/>
      <c r="U271" s="3"/>
      <c r="V271" s="3"/>
      <c r="W271" s="3"/>
    </row>
    <row r="272" ht="15.75" customHeight="1">
      <c r="A272" s="3" t="s">
        <v>102</v>
      </c>
      <c r="B272" s="3" t="s">
        <v>9</v>
      </c>
      <c r="C272" s="3" t="s">
        <v>30</v>
      </c>
      <c r="D272" s="4">
        <v>45677.0</v>
      </c>
      <c r="E272" s="3">
        <v>20.0</v>
      </c>
      <c r="F272" s="5">
        <v>1.0</v>
      </c>
      <c r="G272" s="3">
        <v>1102.0</v>
      </c>
      <c r="H272" s="3" t="str">
        <f>VLOOKUP(B272,'Currency Table'!$M$3:$N$6,2, FALSE)</f>
        <v>PLN</v>
      </c>
      <c r="I272" s="3"/>
      <c r="J272" s="3"/>
      <c r="K272" s="3"/>
      <c r="L272" s="3"/>
      <c r="M272" s="3"/>
      <c r="N272" s="3"/>
      <c r="O272" s="7"/>
      <c r="P272" s="3"/>
      <c r="Q272" s="3"/>
      <c r="R272" s="3"/>
      <c r="S272" s="3"/>
      <c r="T272" s="3"/>
      <c r="U272" s="3"/>
      <c r="V272" s="3"/>
      <c r="W272" s="3"/>
    </row>
    <row r="273" ht="15.75" customHeight="1">
      <c r="A273" s="3" t="s">
        <v>69</v>
      </c>
      <c r="B273" s="3" t="s">
        <v>9</v>
      </c>
      <c r="C273" s="3" t="s">
        <v>23</v>
      </c>
      <c r="D273" s="4">
        <v>45677.0</v>
      </c>
      <c r="E273" s="3">
        <v>58.0</v>
      </c>
      <c r="F273" s="5">
        <v>5.0</v>
      </c>
      <c r="G273" s="3">
        <v>3266.0</v>
      </c>
      <c r="H273" s="3" t="str">
        <f>VLOOKUP(B273,'Currency Table'!$M$3:$N$6,2, FALSE)</f>
        <v>PLN</v>
      </c>
      <c r="I273" s="3"/>
      <c r="J273" s="3"/>
      <c r="K273" s="3"/>
      <c r="L273" s="3"/>
      <c r="M273" s="3"/>
      <c r="N273" s="3"/>
      <c r="O273" s="7"/>
      <c r="P273" s="3"/>
      <c r="Q273" s="3"/>
      <c r="R273" s="3"/>
      <c r="S273" s="3"/>
      <c r="T273" s="3"/>
      <c r="U273" s="3"/>
      <c r="V273" s="3"/>
      <c r="W273" s="3"/>
    </row>
    <row r="274" ht="15.75" customHeight="1">
      <c r="A274" s="3" t="s">
        <v>106</v>
      </c>
      <c r="B274" s="3" t="s">
        <v>9</v>
      </c>
      <c r="C274" s="3" t="s">
        <v>30</v>
      </c>
      <c r="D274" s="4">
        <v>45677.0</v>
      </c>
      <c r="E274" s="3">
        <v>65.0</v>
      </c>
      <c r="F274" s="5">
        <v>3.0</v>
      </c>
      <c r="G274" s="3">
        <v>4064.0</v>
      </c>
      <c r="H274" s="3" t="str">
        <f>VLOOKUP(B274,'Currency Table'!$M$3:$N$6,2, FALSE)</f>
        <v>PLN</v>
      </c>
      <c r="I274" s="3"/>
      <c r="J274" s="3"/>
      <c r="K274" s="3"/>
      <c r="L274" s="3"/>
      <c r="M274" s="3"/>
      <c r="N274" s="3"/>
      <c r="O274" s="7"/>
      <c r="P274" s="3"/>
      <c r="Q274" s="3"/>
      <c r="R274" s="3"/>
      <c r="S274" s="3"/>
      <c r="T274" s="3"/>
      <c r="U274" s="3"/>
      <c r="V274" s="3"/>
      <c r="W274" s="3"/>
    </row>
    <row r="275" ht="15.75" customHeight="1">
      <c r="A275" s="3" t="s">
        <v>70</v>
      </c>
      <c r="B275" s="3" t="s">
        <v>9</v>
      </c>
      <c r="C275" s="3" t="s">
        <v>23</v>
      </c>
      <c r="D275" s="4">
        <v>45677.0</v>
      </c>
      <c r="E275" s="3">
        <v>28.0</v>
      </c>
      <c r="F275" s="5">
        <v>4.0</v>
      </c>
      <c r="G275" s="3">
        <v>1034.0</v>
      </c>
      <c r="H275" s="3" t="str">
        <f>VLOOKUP(B275,'Currency Table'!$M$3:$N$6,2, FALSE)</f>
        <v>PLN</v>
      </c>
      <c r="I275" s="3"/>
      <c r="J275" s="3"/>
      <c r="K275" s="3"/>
      <c r="L275" s="3"/>
      <c r="M275" s="3"/>
      <c r="N275" s="3"/>
      <c r="O275" s="7"/>
      <c r="P275" s="3"/>
      <c r="Q275" s="3"/>
      <c r="R275" s="3"/>
      <c r="S275" s="3"/>
      <c r="T275" s="3"/>
      <c r="U275" s="3"/>
      <c r="V275" s="3"/>
      <c r="W275" s="3"/>
    </row>
    <row r="276" ht="15.75" customHeight="1">
      <c r="A276" s="3" t="s">
        <v>83</v>
      </c>
      <c r="B276" s="3" t="s">
        <v>9</v>
      </c>
      <c r="C276" s="3" t="s">
        <v>12</v>
      </c>
      <c r="D276" s="4">
        <v>45677.0</v>
      </c>
      <c r="E276" s="3">
        <v>66.0</v>
      </c>
      <c r="F276" s="5">
        <v>3.0</v>
      </c>
      <c r="G276" s="3">
        <v>4251.0</v>
      </c>
      <c r="H276" s="3" t="str">
        <f>VLOOKUP(B276,'Currency Table'!$M$3:$N$6,2, FALSE)</f>
        <v>PLN</v>
      </c>
      <c r="I276" s="3"/>
      <c r="J276" s="3"/>
      <c r="K276" s="3"/>
      <c r="L276" s="3"/>
      <c r="M276" s="3"/>
      <c r="N276" s="3"/>
      <c r="O276" s="7"/>
      <c r="P276" s="3"/>
      <c r="Q276" s="3"/>
      <c r="R276" s="3"/>
      <c r="S276" s="3"/>
      <c r="T276" s="3"/>
      <c r="U276" s="3"/>
      <c r="V276" s="3"/>
      <c r="W276" s="3"/>
    </row>
    <row r="277" ht="15.75" customHeight="1">
      <c r="A277" s="3" t="s">
        <v>107</v>
      </c>
      <c r="B277" s="3" t="s">
        <v>9</v>
      </c>
      <c r="C277" s="3" t="s">
        <v>30</v>
      </c>
      <c r="D277" s="4">
        <v>45677.0</v>
      </c>
      <c r="E277" s="3">
        <v>56.0</v>
      </c>
      <c r="F277" s="5">
        <v>1.0</v>
      </c>
      <c r="G277" s="3">
        <v>3511.0</v>
      </c>
      <c r="H277" s="3" t="str">
        <f>VLOOKUP(B277,'Currency Table'!$M$3:$N$6,2, FALSE)</f>
        <v>PLN</v>
      </c>
      <c r="I277" s="3"/>
      <c r="J277" s="3"/>
      <c r="K277" s="3"/>
      <c r="L277" s="3"/>
      <c r="M277" s="3"/>
      <c r="N277" s="3"/>
      <c r="O277" s="7"/>
      <c r="P277" s="3"/>
      <c r="Q277" s="3"/>
      <c r="R277" s="3"/>
      <c r="S277" s="3"/>
      <c r="T277" s="3"/>
      <c r="U277" s="3"/>
      <c r="V277" s="3"/>
      <c r="W277" s="3"/>
    </row>
    <row r="278" ht="15.75" customHeight="1">
      <c r="A278" s="3" t="s">
        <v>108</v>
      </c>
      <c r="B278" s="3" t="s">
        <v>9</v>
      </c>
      <c r="C278" s="3" t="s">
        <v>30</v>
      </c>
      <c r="D278" s="4">
        <v>45677.0</v>
      </c>
      <c r="E278" s="3">
        <v>30.0</v>
      </c>
      <c r="F278" s="5">
        <v>2.0</v>
      </c>
      <c r="G278" s="3">
        <v>1363.0</v>
      </c>
      <c r="H278" s="3" t="str">
        <f>VLOOKUP(B278,'Currency Table'!$M$3:$N$6,2, FALSE)</f>
        <v>PLN</v>
      </c>
      <c r="I278" s="3"/>
      <c r="J278" s="3"/>
      <c r="K278" s="3"/>
      <c r="L278" s="3"/>
      <c r="M278" s="3"/>
      <c r="N278" s="3"/>
      <c r="O278" s="7"/>
      <c r="P278" s="3"/>
      <c r="Q278" s="3"/>
      <c r="R278" s="3"/>
      <c r="S278" s="3"/>
      <c r="T278" s="3"/>
      <c r="U278" s="3"/>
      <c r="V278" s="3"/>
      <c r="W278" s="3"/>
    </row>
    <row r="279" ht="15.75" customHeight="1">
      <c r="A279" s="3" t="s">
        <v>115</v>
      </c>
      <c r="B279" s="3" t="s">
        <v>9</v>
      </c>
      <c r="C279" s="3" t="s">
        <v>30</v>
      </c>
      <c r="D279" s="4">
        <v>45677.0</v>
      </c>
      <c r="E279" s="3">
        <v>59.0</v>
      </c>
      <c r="F279" s="5">
        <v>5.0</v>
      </c>
      <c r="G279" s="3">
        <v>3827.0</v>
      </c>
      <c r="H279" s="3" t="str">
        <f>VLOOKUP(B279,'Currency Table'!$M$3:$N$6,2, FALSE)</f>
        <v>PLN</v>
      </c>
      <c r="I279" s="3"/>
      <c r="J279" s="3"/>
      <c r="K279" s="3"/>
      <c r="L279" s="3"/>
      <c r="M279" s="3"/>
      <c r="N279" s="3"/>
      <c r="O279" s="7"/>
      <c r="P279" s="3"/>
      <c r="Q279" s="3"/>
      <c r="R279" s="3"/>
      <c r="S279" s="3"/>
      <c r="T279" s="3"/>
      <c r="U279" s="3"/>
      <c r="V279" s="3"/>
      <c r="W279" s="3"/>
    </row>
    <row r="280" ht="15.75" customHeight="1">
      <c r="A280" s="3" t="s">
        <v>116</v>
      </c>
      <c r="B280" s="3" t="s">
        <v>9</v>
      </c>
      <c r="C280" s="3" t="s">
        <v>30</v>
      </c>
      <c r="D280" s="4">
        <v>45677.0</v>
      </c>
      <c r="E280" s="3">
        <v>20.0</v>
      </c>
      <c r="F280" s="5">
        <v>4.0</v>
      </c>
      <c r="G280" s="3">
        <v>1484.0</v>
      </c>
      <c r="H280" s="3" t="str">
        <f>VLOOKUP(B280,'Currency Table'!$M$3:$N$6,2, FALSE)</f>
        <v>PLN</v>
      </c>
      <c r="I280" s="3"/>
      <c r="J280" s="3"/>
      <c r="K280" s="3"/>
      <c r="L280" s="3"/>
      <c r="M280" s="3"/>
      <c r="N280" s="3"/>
      <c r="O280" s="7"/>
      <c r="P280" s="3"/>
      <c r="Q280" s="3"/>
      <c r="R280" s="3"/>
      <c r="S280" s="3"/>
      <c r="T280" s="3"/>
      <c r="U280" s="3"/>
      <c r="V280" s="3"/>
      <c r="W280" s="3"/>
    </row>
    <row r="281" ht="15.75" customHeight="1">
      <c r="A281" s="3" t="s">
        <v>38</v>
      </c>
      <c r="B281" s="3" t="s">
        <v>9</v>
      </c>
      <c r="C281" s="3" t="s">
        <v>10</v>
      </c>
      <c r="D281" s="4">
        <v>45677.0</v>
      </c>
      <c r="E281" s="3">
        <v>70.0</v>
      </c>
      <c r="F281" s="5">
        <v>1.0</v>
      </c>
      <c r="G281" s="3">
        <v>4363.0</v>
      </c>
      <c r="H281" s="3" t="str">
        <f>VLOOKUP(B281,'Currency Table'!$M$3:$N$6,2, FALSE)</f>
        <v>PLN</v>
      </c>
      <c r="I281" s="3"/>
      <c r="J281" s="3"/>
      <c r="K281" s="3"/>
      <c r="L281" s="3"/>
      <c r="M281" s="3"/>
      <c r="N281" s="3"/>
      <c r="O281" s="7"/>
      <c r="P281" s="3"/>
      <c r="Q281" s="3"/>
      <c r="R281" s="3"/>
      <c r="S281" s="3"/>
      <c r="T281" s="3"/>
      <c r="U281" s="3"/>
      <c r="V281" s="3"/>
      <c r="W281" s="3"/>
    </row>
    <row r="282" ht="15.75" customHeight="1">
      <c r="A282" s="3" t="s">
        <v>39</v>
      </c>
      <c r="B282" s="3" t="s">
        <v>9</v>
      </c>
      <c r="C282" s="3" t="s">
        <v>10</v>
      </c>
      <c r="D282" s="4">
        <v>45677.0</v>
      </c>
      <c r="E282" s="3">
        <v>55.0</v>
      </c>
      <c r="F282" s="5">
        <v>5.0</v>
      </c>
      <c r="G282" s="3">
        <v>3143.0</v>
      </c>
      <c r="H282" s="3" t="str">
        <f>VLOOKUP(B282,'Currency Table'!$M$3:$N$6,2, FALSE)</f>
        <v>PLN</v>
      </c>
      <c r="I282" s="3"/>
      <c r="J282" s="3"/>
      <c r="K282" s="3"/>
      <c r="L282" s="3"/>
      <c r="M282" s="3"/>
      <c r="N282" s="3"/>
      <c r="O282" s="7"/>
      <c r="P282" s="3"/>
      <c r="Q282" s="3"/>
      <c r="R282" s="3"/>
      <c r="S282" s="3"/>
      <c r="T282" s="3"/>
      <c r="U282" s="3"/>
      <c r="V282" s="3"/>
      <c r="W282" s="3"/>
    </row>
    <row r="283" ht="15.75" customHeight="1">
      <c r="A283" s="3" t="s">
        <v>85</v>
      </c>
      <c r="B283" s="3" t="s">
        <v>9</v>
      </c>
      <c r="C283" s="3" t="s">
        <v>12</v>
      </c>
      <c r="D283" s="4">
        <v>45677.0</v>
      </c>
      <c r="E283" s="3">
        <v>10.0</v>
      </c>
      <c r="F283" s="5">
        <v>5.0</v>
      </c>
      <c r="G283" s="3">
        <v>1034.0</v>
      </c>
      <c r="H283" s="3" t="str">
        <f>VLOOKUP(B283,'Currency Table'!$M$3:$N$6,2, FALSE)</f>
        <v>PLN</v>
      </c>
      <c r="I283" s="3"/>
      <c r="J283" s="3"/>
      <c r="K283" s="3"/>
      <c r="L283" s="3"/>
      <c r="M283" s="3"/>
      <c r="N283" s="3"/>
      <c r="O283" s="7"/>
      <c r="P283" s="3"/>
      <c r="Q283" s="3"/>
      <c r="R283" s="3"/>
      <c r="S283" s="3"/>
      <c r="T283" s="3"/>
      <c r="U283" s="3"/>
      <c r="V283" s="3"/>
      <c r="W283" s="3"/>
    </row>
    <row r="284" ht="15.75" customHeight="1">
      <c r="A284" s="3" t="s">
        <v>41</v>
      </c>
      <c r="B284" s="3" t="s">
        <v>9</v>
      </c>
      <c r="C284" s="3" t="s">
        <v>10</v>
      </c>
      <c r="D284" s="4">
        <v>45677.0</v>
      </c>
      <c r="E284" s="3">
        <v>30.0</v>
      </c>
      <c r="F284" s="5">
        <v>1.0</v>
      </c>
      <c r="G284" s="3">
        <v>1353.0</v>
      </c>
      <c r="H284" s="3" t="str">
        <f>VLOOKUP(B284,'Currency Table'!$M$3:$N$6,2, FALSE)</f>
        <v>PLN</v>
      </c>
      <c r="I284" s="3"/>
      <c r="J284" s="3"/>
      <c r="K284" s="3"/>
      <c r="L284" s="3"/>
      <c r="M284" s="3"/>
      <c r="N284" s="3"/>
      <c r="O284" s="7"/>
      <c r="P284" s="3"/>
      <c r="Q284" s="3"/>
      <c r="R284" s="3"/>
      <c r="S284" s="3"/>
      <c r="T284" s="3"/>
      <c r="U284" s="3"/>
      <c r="V284" s="3"/>
      <c r="W284" s="3"/>
    </row>
    <row r="285" ht="15.75" customHeight="1">
      <c r="A285" s="3" t="s">
        <v>52</v>
      </c>
      <c r="B285" s="3" t="s">
        <v>9</v>
      </c>
      <c r="C285" s="3" t="s">
        <v>16</v>
      </c>
      <c r="D285" s="4">
        <v>45677.0</v>
      </c>
      <c r="E285" s="3">
        <v>59.0</v>
      </c>
      <c r="F285" s="5">
        <v>3.0</v>
      </c>
      <c r="G285" s="3">
        <v>3714.0</v>
      </c>
      <c r="H285" s="3" t="str">
        <f>VLOOKUP(B285,'Currency Table'!$M$3:$N$6,2, FALSE)</f>
        <v>PLN</v>
      </c>
      <c r="I285" s="3"/>
      <c r="J285" s="3"/>
      <c r="K285" s="3"/>
      <c r="L285" s="3"/>
      <c r="M285" s="3"/>
      <c r="N285" s="3"/>
      <c r="O285" s="7"/>
      <c r="P285" s="3"/>
      <c r="Q285" s="3"/>
      <c r="R285" s="3"/>
      <c r="S285" s="3"/>
      <c r="T285" s="3"/>
      <c r="U285" s="3"/>
      <c r="V285" s="3"/>
      <c r="W285" s="3"/>
    </row>
    <row r="286" ht="15.75" customHeight="1">
      <c r="A286" s="3" t="s">
        <v>89</v>
      </c>
      <c r="B286" s="3" t="s">
        <v>9</v>
      </c>
      <c r="C286" s="3" t="s">
        <v>12</v>
      </c>
      <c r="D286" s="4">
        <v>45677.0</v>
      </c>
      <c r="E286" s="3">
        <v>63.0</v>
      </c>
      <c r="F286" s="5">
        <v>3.0</v>
      </c>
      <c r="G286" s="3">
        <v>3986.0</v>
      </c>
      <c r="H286" s="3" t="str">
        <f>VLOOKUP(B286,'Currency Table'!$M$3:$N$6,2, FALSE)</f>
        <v>PLN</v>
      </c>
      <c r="I286" s="3"/>
      <c r="J286" s="3"/>
      <c r="K286" s="3"/>
      <c r="L286" s="3"/>
      <c r="M286" s="3"/>
      <c r="N286" s="3"/>
      <c r="O286" s="7"/>
      <c r="P286" s="3"/>
      <c r="Q286" s="3"/>
      <c r="R286" s="3"/>
      <c r="S286" s="3"/>
      <c r="T286" s="3"/>
      <c r="U286" s="3"/>
      <c r="V286" s="3"/>
      <c r="W286" s="3"/>
    </row>
    <row r="287" ht="15.75" customHeight="1">
      <c r="A287" s="3" t="s">
        <v>54</v>
      </c>
      <c r="B287" s="3" t="s">
        <v>9</v>
      </c>
      <c r="C287" s="3" t="s">
        <v>16</v>
      </c>
      <c r="D287" s="4">
        <v>45677.0</v>
      </c>
      <c r="E287" s="3">
        <v>41.0</v>
      </c>
      <c r="F287" s="5">
        <v>3.0</v>
      </c>
      <c r="G287" s="3">
        <v>2011.0</v>
      </c>
      <c r="H287" s="3" t="str">
        <f>VLOOKUP(B287,'Currency Table'!$M$3:$N$6,2, FALSE)</f>
        <v>PLN</v>
      </c>
      <c r="I287" s="3"/>
      <c r="J287" s="3"/>
      <c r="K287" s="3"/>
      <c r="L287" s="3"/>
      <c r="M287" s="3"/>
      <c r="N287" s="3"/>
      <c r="O287" s="7"/>
      <c r="P287" s="3"/>
      <c r="Q287" s="3"/>
      <c r="R287" s="3"/>
      <c r="S287" s="3"/>
      <c r="T287" s="3"/>
      <c r="U287" s="3"/>
      <c r="V287" s="3"/>
      <c r="W287" s="3"/>
    </row>
    <row r="288" ht="15.75" customHeight="1">
      <c r="A288" s="3" t="s">
        <v>73</v>
      </c>
      <c r="B288" s="3" t="s">
        <v>9</v>
      </c>
      <c r="C288" s="3" t="s">
        <v>23</v>
      </c>
      <c r="D288" s="4">
        <v>45677.0</v>
      </c>
      <c r="E288" s="3">
        <v>38.0</v>
      </c>
      <c r="F288" s="5">
        <v>3.0</v>
      </c>
      <c r="G288" s="3">
        <v>2173.0</v>
      </c>
      <c r="H288" s="3" t="str">
        <f>VLOOKUP(B288,'Currency Table'!$M$3:$N$6,2, FALSE)</f>
        <v>PLN</v>
      </c>
      <c r="I288" s="3"/>
      <c r="J288" s="3"/>
      <c r="K288" s="3"/>
      <c r="L288" s="3"/>
      <c r="M288" s="3"/>
      <c r="N288" s="3"/>
      <c r="O288" s="7"/>
      <c r="P288" s="3"/>
      <c r="Q288" s="3"/>
      <c r="R288" s="3"/>
      <c r="S288" s="3"/>
      <c r="T288" s="3"/>
      <c r="U288" s="3"/>
      <c r="V288" s="3"/>
      <c r="W288" s="3"/>
    </row>
    <row r="289" ht="15.75" customHeight="1">
      <c r="A289" s="3" t="s">
        <v>55</v>
      </c>
      <c r="B289" s="3" t="s">
        <v>9</v>
      </c>
      <c r="C289" s="3" t="s">
        <v>16</v>
      </c>
      <c r="D289" s="4">
        <v>45677.0</v>
      </c>
      <c r="E289" s="3">
        <v>13.0</v>
      </c>
      <c r="F289" s="5">
        <v>5.0</v>
      </c>
      <c r="G289" s="3">
        <v>800.0</v>
      </c>
      <c r="H289" s="3" t="str">
        <f>VLOOKUP(B289,'Currency Table'!$M$3:$N$6,2, FALSE)</f>
        <v>PLN</v>
      </c>
      <c r="I289" s="3"/>
      <c r="J289" s="3"/>
      <c r="K289" s="3"/>
      <c r="L289" s="3"/>
      <c r="M289" s="3"/>
      <c r="N289" s="3"/>
      <c r="O289" s="7"/>
      <c r="P289" s="3"/>
      <c r="Q289" s="3"/>
      <c r="R289" s="3"/>
      <c r="S289" s="3"/>
      <c r="T289" s="3"/>
      <c r="U289" s="3"/>
      <c r="V289" s="3"/>
      <c r="W289" s="3"/>
    </row>
    <row r="290" ht="15.75" customHeight="1">
      <c r="A290" s="3" t="s">
        <v>71</v>
      </c>
      <c r="B290" s="3" t="s">
        <v>9</v>
      </c>
      <c r="C290" s="3" t="s">
        <v>16</v>
      </c>
      <c r="D290" s="4">
        <v>45677.0</v>
      </c>
      <c r="E290" s="3">
        <v>34.0</v>
      </c>
      <c r="F290" s="5">
        <v>2.0</v>
      </c>
      <c r="G290" s="3">
        <v>2042.0</v>
      </c>
      <c r="H290" s="3" t="str">
        <f>VLOOKUP(B290,'Currency Table'!$M$3:$N$6,2, FALSE)</f>
        <v>PLN</v>
      </c>
      <c r="I290" s="3"/>
      <c r="J290" s="3"/>
      <c r="K290" s="3"/>
      <c r="L290" s="3"/>
      <c r="M290" s="3"/>
      <c r="N290" s="3"/>
      <c r="O290" s="7"/>
      <c r="P290" s="3"/>
      <c r="Q290" s="3"/>
      <c r="R290" s="3"/>
      <c r="S290" s="3"/>
      <c r="T290" s="3"/>
      <c r="U290" s="3"/>
      <c r="V290" s="3"/>
      <c r="W290" s="3"/>
    </row>
    <row r="291" ht="15.75" customHeight="1">
      <c r="A291" s="3" t="s">
        <v>74</v>
      </c>
      <c r="B291" s="3" t="s">
        <v>9</v>
      </c>
      <c r="C291" s="3" t="s">
        <v>16</v>
      </c>
      <c r="D291" s="4">
        <v>45677.0</v>
      </c>
      <c r="E291" s="3">
        <v>21.0</v>
      </c>
      <c r="F291" s="5">
        <v>0.0</v>
      </c>
      <c r="G291" s="3">
        <v>1406.0</v>
      </c>
      <c r="H291" s="3" t="str">
        <f>VLOOKUP(B291,'Currency Table'!$M$3:$N$6,2, FALSE)</f>
        <v>PLN</v>
      </c>
      <c r="I291" s="3"/>
      <c r="J291" s="3"/>
      <c r="K291" s="3"/>
      <c r="L291" s="3"/>
      <c r="M291" s="3"/>
      <c r="N291" s="3"/>
      <c r="O291" s="7"/>
      <c r="P291" s="3"/>
      <c r="Q291" s="3"/>
      <c r="R291" s="3"/>
      <c r="S291" s="3"/>
      <c r="T291" s="3"/>
      <c r="U291" s="3"/>
      <c r="V291" s="3"/>
      <c r="W291" s="3"/>
    </row>
    <row r="292" ht="15.75" customHeight="1">
      <c r="A292" s="3" t="s">
        <v>56</v>
      </c>
      <c r="B292" s="3" t="s">
        <v>9</v>
      </c>
      <c r="C292" s="3" t="s">
        <v>10</v>
      </c>
      <c r="D292" s="4">
        <v>45677.0</v>
      </c>
      <c r="E292" s="3">
        <v>58.0</v>
      </c>
      <c r="F292" s="5">
        <v>5.0</v>
      </c>
      <c r="G292" s="3">
        <v>3248.0</v>
      </c>
      <c r="H292" s="3" t="str">
        <f>VLOOKUP(B292,'Currency Table'!$M$3:$N$6,2, FALSE)</f>
        <v>PLN</v>
      </c>
      <c r="I292" s="3"/>
      <c r="J292" s="3"/>
      <c r="K292" s="3"/>
      <c r="L292" s="3"/>
      <c r="M292" s="3"/>
      <c r="N292" s="3"/>
      <c r="O292" s="7"/>
      <c r="P292" s="3"/>
      <c r="Q292" s="3"/>
      <c r="R292" s="3"/>
      <c r="S292" s="3"/>
      <c r="T292" s="3"/>
      <c r="U292" s="3"/>
      <c r="V292" s="3"/>
      <c r="W292" s="3"/>
    </row>
    <row r="293" ht="15.75" customHeight="1">
      <c r="A293" s="3" t="s">
        <v>90</v>
      </c>
      <c r="B293" s="3" t="s">
        <v>9</v>
      </c>
      <c r="C293" s="3" t="s">
        <v>12</v>
      </c>
      <c r="D293" s="4">
        <v>45677.0</v>
      </c>
      <c r="E293" s="3">
        <v>25.0</v>
      </c>
      <c r="F293" s="5">
        <v>6.0</v>
      </c>
      <c r="G293" s="3">
        <v>1515.0</v>
      </c>
      <c r="H293" s="3" t="str">
        <f>VLOOKUP(B293,'Currency Table'!$M$3:$N$6,2, FALSE)</f>
        <v>PLN</v>
      </c>
      <c r="I293" s="3"/>
      <c r="J293" s="3"/>
      <c r="K293" s="3"/>
      <c r="L293" s="3"/>
      <c r="M293" s="3"/>
      <c r="N293" s="3"/>
      <c r="O293" s="7"/>
      <c r="P293" s="3"/>
      <c r="Q293" s="3"/>
      <c r="R293" s="3"/>
      <c r="S293" s="3"/>
      <c r="T293" s="3"/>
      <c r="U293" s="3"/>
      <c r="V293" s="3"/>
      <c r="W293" s="3"/>
    </row>
    <row r="294" ht="15.75" customHeight="1">
      <c r="A294" s="3" t="s">
        <v>79</v>
      </c>
      <c r="B294" s="3" t="s">
        <v>9</v>
      </c>
      <c r="C294" s="3" t="s">
        <v>16</v>
      </c>
      <c r="D294" s="4">
        <v>45677.0</v>
      </c>
      <c r="E294" s="3">
        <v>13.0</v>
      </c>
      <c r="F294" s="5">
        <v>0.0</v>
      </c>
      <c r="G294" s="3">
        <v>1167.0</v>
      </c>
      <c r="H294" s="3" t="str">
        <f>VLOOKUP(B294,'Currency Table'!$M$3:$N$6,2, FALSE)</f>
        <v>PLN</v>
      </c>
      <c r="I294" s="3"/>
      <c r="J294" s="3"/>
      <c r="K294" s="3"/>
      <c r="L294" s="3"/>
      <c r="M294" s="3"/>
      <c r="N294" s="3"/>
      <c r="O294" s="7"/>
      <c r="P294" s="3"/>
      <c r="Q294" s="3"/>
      <c r="R294" s="3"/>
      <c r="S294" s="3"/>
      <c r="T294" s="3"/>
      <c r="U294" s="3"/>
      <c r="V294" s="3"/>
      <c r="W294" s="3"/>
    </row>
    <row r="295" ht="15.75" customHeight="1">
      <c r="A295" s="3" t="s">
        <v>81</v>
      </c>
      <c r="B295" s="3" t="s">
        <v>9</v>
      </c>
      <c r="C295" s="3" t="s">
        <v>23</v>
      </c>
      <c r="D295" s="4">
        <v>45677.0</v>
      </c>
      <c r="E295" s="3">
        <v>11.0</v>
      </c>
      <c r="F295" s="5">
        <v>1.0</v>
      </c>
      <c r="G295" s="3">
        <v>757.0</v>
      </c>
      <c r="H295" s="3" t="str">
        <f>VLOOKUP(B295,'Currency Table'!$M$3:$N$6,2, FALSE)</f>
        <v>PLN</v>
      </c>
      <c r="I295" s="3"/>
      <c r="J295" s="3"/>
      <c r="K295" s="3"/>
      <c r="L295" s="3"/>
      <c r="M295" s="3"/>
      <c r="N295" s="3"/>
      <c r="O295" s="7"/>
      <c r="P295" s="3"/>
      <c r="Q295" s="3"/>
      <c r="R295" s="3"/>
      <c r="S295" s="3"/>
      <c r="T295" s="3"/>
      <c r="U295" s="3"/>
      <c r="V295" s="3"/>
      <c r="W295" s="3"/>
    </row>
    <row r="296" ht="15.75" customHeight="1">
      <c r="A296" s="3" t="s">
        <v>92</v>
      </c>
      <c r="B296" s="3" t="s">
        <v>9</v>
      </c>
      <c r="C296" s="3" t="s">
        <v>12</v>
      </c>
      <c r="D296" s="4">
        <v>45677.0</v>
      </c>
      <c r="E296" s="3">
        <v>24.0</v>
      </c>
      <c r="F296" s="5">
        <v>4.0</v>
      </c>
      <c r="G296" s="3">
        <v>1464.0</v>
      </c>
      <c r="H296" s="3" t="str">
        <f>VLOOKUP(B296,'Currency Table'!$M$3:$N$6,2, FALSE)</f>
        <v>PLN</v>
      </c>
      <c r="I296" s="3"/>
      <c r="J296" s="3"/>
      <c r="K296" s="3"/>
      <c r="L296" s="3"/>
      <c r="M296" s="3"/>
      <c r="N296" s="3"/>
      <c r="O296" s="7"/>
      <c r="P296" s="3"/>
      <c r="Q296" s="3"/>
      <c r="R296" s="3"/>
      <c r="S296" s="3"/>
      <c r="T296" s="3"/>
      <c r="U296" s="3"/>
      <c r="V296" s="3"/>
      <c r="W296" s="3"/>
    </row>
    <row r="297" ht="15.75" customHeight="1">
      <c r="A297" s="3" t="s">
        <v>95</v>
      </c>
      <c r="B297" s="3" t="s">
        <v>9</v>
      </c>
      <c r="C297" s="3" t="s">
        <v>12</v>
      </c>
      <c r="D297" s="4">
        <v>45677.0</v>
      </c>
      <c r="E297" s="3">
        <v>28.0</v>
      </c>
      <c r="F297" s="5">
        <v>3.0</v>
      </c>
      <c r="G297" s="3">
        <v>1824.0</v>
      </c>
      <c r="H297" s="3" t="str">
        <f>VLOOKUP(B297,'Currency Table'!$M$3:$N$6,2, FALSE)</f>
        <v>PLN</v>
      </c>
      <c r="I297" s="3"/>
      <c r="J297" s="3"/>
      <c r="K297" s="3"/>
      <c r="L297" s="3"/>
      <c r="M297" s="3"/>
      <c r="N297" s="3"/>
      <c r="O297" s="7"/>
      <c r="P297" s="3"/>
      <c r="Q297" s="3"/>
      <c r="R297" s="3"/>
      <c r="S297" s="3"/>
      <c r="T297" s="3"/>
      <c r="U297" s="3"/>
      <c r="V297" s="3"/>
      <c r="W297" s="3"/>
    </row>
    <row r="298" ht="15.75" customHeight="1">
      <c r="A298" s="3" t="s">
        <v>67</v>
      </c>
      <c r="B298" s="3" t="s">
        <v>9</v>
      </c>
      <c r="C298" s="3" t="s">
        <v>10</v>
      </c>
      <c r="D298" s="4">
        <v>45677.0</v>
      </c>
      <c r="E298" s="3">
        <v>60.0</v>
      </c>
      <c r="F298" s="5">
        <v>3.0</v>
      </c>
      <c r="G298" s="3">
        <v>3056.0</v>
      </c>
      <c r="H298" s="3" t="str">
        <f>VLOOKUP(B298,'Currency Table'!$M$3:$N$6,2, FALSE)</f>
        <v>PLN</v>
      </c>
      <c r="I298" s="3"/>
      <c r="J298" s="3"/>
      <c r="K298" s="3"/>
      <c r="L298" s="3"/>
      <c r="M298" s="3"/>
      <c r="N298" s="3"/>
      <c r="O298" s="7"/>
      <c r="P298" s="3"/>
      <c r="Q298" s="3"/>
      <c r="R298" s="3"/>
      <c r="S298" s="3"/>
      <c r="T298" s="3"/>
      <c r="U298" s="3"/>
      <c r="V298" s="3"/>
      <c r="W298" s="3"/>
    </row>
    <row r="299" ht="15.75" customHeight="1">
      <c r="A299" s="3" t="s">
        <v>96</v>
      </c>
      <c r="B299" s="3" t="s">
        <v>9</v>
      </c>
      <c r="C299" s="3" t="s">
        <v>12</v>
      </c>
      <c r="D299" s="4">
        <v>45677.0</v>
      </c>
      <c r="E299" s="3">
        <v>41.0</v>
      </c>
      <c r="F299" s="5">
        <v>0.0</v>
      </c>
      <c r="G299" s="3">
        <v>2961.0</v>
      </c>
      <c r="H299" s="3" t="str">
        <f>VLOOKUP(B299,'Currency Table'!$M$3:$N$6,2, FALSE)</f>
        <v>PLN</v>
      </c>
      <c r="I299" s="3"/>
      <c r="J299" s="3"/>
      <c r="K299" s="3"/>
      <c r="L299" s="3"/>
      <c r="M299" s="3"/>
      <c r="N299" s="3"/>
      <c r="O299" s="7"/>
      <c r="P299" s="3"/>
      <c r="Q299" s="3"/>
      <c r="R299" s="3"/>
      <c r="S299" s="3"/>
      <c r="T299" s="3"/>
      <c r="U299" s="3"/>
      <c r="V299" s="3"/>
      <c r="W299" s="3"/>
    </row>
    <row r="300" ht="15.75" customHeight="1">
      <c r="A300" s="3" t="s">
        <v>84</v>
      </c>
      <c r="B300" s="3" t="s">
        <v>9</v>
      </c>
      <c r="C300" s="3" t="s">
        <v>16</v>
      </c>
      <c r="D300" s="4">
        <v>45677.0</v>
      </c>
      <c r="E300" s="3">
        <v>15.0</v>
      </c>
      <c r="F300" s="5">
        <v>5.0</v>
      </c>
      <c r="G300" s="3">
        <v>873.0</v>
      </c>
      <c r="H300" s="3" t="str">
        <f>VLOOKUP(B300,'Currency Table'!$M$3:$N$6,2, FALSE)</f>
        <v>PLN</v>
      </c>
      <c r="I300" s="3"/>
      <c r="J300" s="3"/>
      <c r="K300" s="3"/>
      <c r="L300" s="3"/>
      <c r="M300" s="3"/>
      <c r="N300" s="3"/>
      <c r="O300" s="7"/>
      <c r="P300" s="3"/>
      <c r="Q300" s="3"/>
      <c r="R300" s="3"/>
      <c r="S300" s="3"/>
      <c r="T300" s="3"/>
      <c r="U300" s="3"/>
      <c r="V300" s="3"/>
      <c r="W300" s="3"/>
    </row>
    <row r="301" ht="15.75" customHeight="1">
      <c r="A301" s="3" t="s">
        <v>77</v>
      </c>
      <c r="B301" s="3" t="s">
        <v>9</v>
      </c>
      <c r="C301" s="3" t="s">
        <v>10</v>
      </c>
      <c r="D301" s="4">
        <v>45677.0</v>
      </c>
      <c r="E301" s="3">
        <v>17.0</v>
      </c>
      <c r="F301" s="5">
        <v>3.0</v>
      </c>
      <c r="G301" s="3">
        <v>1669.0</v>
      </c>
      <c r="H301" s="3" t="str">
        <f>VLOOKUP(B301,'Currency Table'!$M$3:$N$6,2, FALSE)</f>
        <v>PLN</v>
      </c>
      <c r="I301" s="3"/>
      <c r="J301" s="3"/>
      <c r="K301" s="3"/>
      <c r="L301" s="3"/>
      <c r="M301" s="3"/>
      <c r="N301" s="3"/>
      <c r="O301" s="7"/>
      <c r="P301" s="3"/>
      <c r="Q301" s="3"/>
      <c r="R301" s="3"/>
      <c r="S301" s="3"/>
      <c r="T301" s="3"/>
      <c r="U301" s="3"/>
      <c r="V301" s="3"/>
      <c r="W301" s="3"/>
    </row>
    <row r="302" ht="15.75" customHeight="1">
      <c r="A302" s="3" t="s">
        <v>11</v>
      </c>
      <c r="B302" s="3" t="s">
        <v>9</v>
      </c>
      <c r="C302" s="3" t="s">
        <v>12</v>
      </c>
      <c r="D302" s="4">
        <v>45684.0</v>
      </c>
      <c r="E302" s="3">
        <v>28.0</v>
      </c>
      <c r="F302" s="5">
        <v>1.0</v>
      </c>
      <c r="G302" s="3">
        <v>1827.0</v>
      </c>
      <c r="H302" s="3" t="str">
        <f>VLOOKUP(B302,'Currency Table'!$M$3:$N$6,2, FALSE)</f>
        <v>PLN</v>
      </c>
      <c r="I302" s="3"/>
      <c r="J302" s="3"/>
      <c r="K302" s="3"/>
      <c r="L302" s="3"/>
      <c r="M302" s="3"/>
      <c r="N302" s="3"/>
      <c r="O302" s="7"/>
      <c r="P302" s="3"/>
      <c r="Q302" s="3"/>
      <c r="R302" s="3"/>
      <c r="S302" s="3"/>
      <c r="T302" s="3"/>
      <c r="U302" s="3"/>
      <c r="V302" s="3"/>
      <c r="W302" s="3"/>
    </row>
    <row r="303" ht="15.75" customHeight="1">
      <c r="A303" s="3" t="s">
        <v>87</v>
      </c>
      <c r="B303" s="3" t="s">
        <v>9</v>
      </c>
      <c r="C303" s="3" t="s">
        <v>23</v>
      </c>
      <c r="D303" s="4">
        <v>45677.0</v>
      </c>
      <c r="E303" s="3">
        <v>58.0</v>
      </c>
      <c r="F303" s="5">
        <v>2.0</v>
      </c>
      <c r="G303" s="3">
        <v>3319.0</v>
      </c>
      <c r="H303" s="3" t="str">
        <f>VLOOKUP(B303,'Currency Table'!$M$3:$N$6,2, FALSE)</f>
        <v>PLN</v>
      </c>
      <c r="I303" s="3"/>
      <c r="J303" s="3"/>
      <c r="K303" s="3"/>
      <c r="L303" s="3"/>
      <c r="M303" s="3"/>
      <c r="N303" s="3"/>
      <c r="O303" s="7"/>
      <c r="P303" s="3"/>
      <c r="Q303" s="3"/>
      <c r="R303" s="3"/>
      <c r="S303" s="3"/>
      <c r="T303" s="3"/>
      <c r="U303" s="3"/>
      <c r="V303" s="3"/>
      <c r="W303" s="3"/>
    </row>
    <row r="304" ht="15.75" customHeight="1">
      <c r="A304" s="3" t="s">
        <v>93</v>
      </c>
      <c r="B304" s="3" t="s">
        <v>9</v>
      </c>
      <c r="C304" s="3" t="s">
        <v>10</v>
      </c>
      <c r="D304" s="4">
        <v>45677.0</v>
      </c>
      <c r="E304" s="3">
        <v>60.0</v>
      </c>
      <c r="F304" s="5">
        <v>4.0</v>
      </c>
      <c r="G304" s="3">
        <v>3747.0</v>
      </c>
      <c r="H304" s="3" t="str">
        <f>VLOOKUP(B304,'Currency Table'!$M$3:$N$6,2, FALSE)</f>
        <v>PLN</v>
      </c>
      <c r="I304" s="3"/>
      <c r="J304" s="3"/>
      <c r="K304" s="3"/>
      <c r="L304" s="3"/>
      <c r="M304" s="3"/>
      <c r="N304" s="3"/>
      <c r="O304" s="7"/>
      <c r="P304" s="3"/>
      <c r="Q304" s="3"/>
      <c r="R304" s="3"/>
      <c r="S304" s="3"/>
      <c r="T304" s="3"/>
      <c r="U304" s="3"/>
      <c r="V304" s="3"/>
      <c r="W304" s="3"/>
    </row>
    <row r="305" ht="15.75" customHeight="1">
      <c r="A305" s="3" t="s">
        <v>94</v>
      </c>
      <c r="B305" s="3" t="s">
        <v>9</v>
      </c>
      <c r="C305" s="3" t="s">
        <v>16</v>
      </c>
      <c r="D305" s="4">
        <v>45677.0</v>
      </c>
      <c r="E305" s="3">
        <v>21.0</v>
      </c>
      <c r="F305" s="5">
        <v>5.0</v>
      </c>
      <c r="G305" s="3">
        <v>1903.0</v>
      </c>
      <c r="H305" s="3" t="str">
        <f>VLOOKUP(B305,'Currency Table'!$M$3:$N$6,2, FALSE)</f>
        <v>PLN</v>
      </c>
      <c r="I305" s="3"/>
      <c r="J305" s="3"/>
      <c r="K305" s="3"/>
      <c r="L305" s="3"/>
      <c r="M305" s="3"/>
      <c r="N305" s="3"/>
      <c r="O305" s="7"/>
      <c r="P305" s="3"/>
      <c r="Q305" s="3"/>
      <c r="R305" s="3"/>
      <c r="S305" s="3"/>
      <c r="T305" s="3"/>
      <c r="U305" s="3"/>
      <c r="V305" s="3"/>
      <c r="W305" s="3"/>
    </row>
    <row r="306" ht="15.75" customHeight="1">
      <c r="A306" s="3" t="s">
        <v>88</v>
      </c>
      <c r="B306" s="3" t="s">
        <v>9</v>
      </c>
      <c r="C306" s="3" t="s">
        <v>23</v>
      </c>
      <c r="D306" s="4">
        <v>45677.0</v>
      </c>
      <c r="E306" s="3">
        <v>66.0</v>
      </c>
      <c r="F306" s="5">
        <v>5.0</v>
      </c>
      <c r="G306" s="3">
        <v>4189.0</v>
      </c>
      <c r="H306" s="3" t="str">
        <f>VLOOKUP(B306,'Currency Table'!$M$3:$N$6,2, FALSE)</f>
        <v>PLN</v>
      </c>
      <c r="I306" s="3"/>
      <c r="J306" s="3"/>
      <c r="K306" s="3"/>
      <c r="L306" s="3"/>
      <c r="M306" s="3"/>
      <c r="N306" s="3"/>
      <c r="O306" s="7"/>
      <c r="P306" s="3"/>
      <c r="Q306" s="3"/>
      <c r="R306" s="3"/>
      <c r="S306" s="3"/>
      <c r="T306" s="3"/>
      <c r="U306" s="3"/>
      <c r="V306" s="3"/>
      <c r="W306" s="3"/>
    </row>
    <row r="307" ht="15.75" customHeight="1">
      <c r="A307" s="3" t="s">
        <v>18</v>
      </c>
      <c r="B307" s="3" t="s">
        <v>9</v>
      </c>
      <c r="C307" s="3" t="s">
        <v>12</v>
      </c>
      <c r="D307" s="4">
        <v>45684.0</v>
      </c>
      <c r="E307" s="3">
        <v>60.0</v>
      </c>
      <c r="F307" s="5">
        <v>1.0</v>
      </c>
      <c r="G307" s="3">
        <v>3472.0</v>
      </c>
      <c r="H307" s="3" t="str">
        <f>VLOOKUP(B307,'Currency Table'!$M$3:$N$6,2, FALSE)</f>
        <v>PLN</v>
      </c>
      <c r="I307" s="3"/>
      <c r="J307" s="3"/>
      <c r="K307" s="3"/>
      <c r="L307" s="3"/>
      <c r="M307" s="3"/>
      <c r="N307" s="3"/>
      <c r="O307" s="7"/>
      <c r="P307" s="3"/>
      <c r="Q307" s="3"/>
      <c r="R307" s="3"/>
      <c r="S307" s="3"/>
      <c r="T307" s="3"/>
      <c r="U307" s="3"/>
      <c r="V307" s="3"/>
      <c r="W307" s="3"/>
    </row>
    <row r="308" ht="15.75" customHeight="1">
      <c r="A308" s="3" t="s">
        <v>103</v>
      </c>
      <c r="B308" s="3" t="s">
        <v>9</v>
      </c>
      <c r="C308" s="3" t="s">
        <v>23</v>
      </c>
      <c r="D308" s="4">
        <v>45677.0</v>
      </c>
      <c r="E308" s="3">
        <v>67.0</v>
      </c>
      <c r="F308" s="5">
        <v>6.0</v>
      </c>
      <c r="G308" s="3">
        <v>3943.0</v>
      </c>
      <c r="H308" s="3" t="str">
        <f>VLOOKUP(B308,'Currency Table'!$M$3:$N$6,2, FALSE)</f>
        <v>PLN</v>
      </c>
      <c r="I308" s="3"/>
      <c r="J308" s="3"/>
      <c r="K308" s="3"/>
      <c r="L308" s="3"/>
      <c r="M308" s="3"/>
      <c r="N308" s="3"/>
      <c r="O308" s="7"/>
      <c r="P308" s="3"/>
      <c r="Q308" s="3"/>
      <c r="R308" s="3"/>
      <c r="S308" s="3"/>
      <c r="T308" s="3"/>
      <c r="U308" s="3"/>
      <c r="V308" s="3"/>
      <c r="W308" s="3"/>
    </row>
    <row r="309" ht="15.75" customHeight="1">
      <c r="A309" s="3" t="s">
        <v>110</v>
      </c>
      <c r="B309" s="3" t="s">
        <v>9</v>
      </c>
      <c r="C309" s="3" t="s">
        <v>23</v>
      </c>
      <c r="D309" s="4">
        <v>45677.0</v>
      </c>
      <c r="E309" s="3">
        <v>70.0</v>
      </c>
      <c r="F309" s="5">
        <v>2.0</v>
      </c>
      <c r="G309" s="3">
        <v>4330.0</v>
      </c>
      <c r="H309" s="3" t="str">
        <f>VLOOKUP(B309,'Currency Table'!$M$3:$N$6,2, FALSE)</f>
        <v>PLN</v>
      </c>
      <c r="I309" s="3"/>
      <c r="J309" s="3"/>
      <c r="K309" s="3"/>
      <c r="L309" s="3"/>
      <c r="M309" s="3"/>
      <c r="N309" s="3"/>
      <c r="O309" s="7"/>
      <c r="P309" s="3"/>
      <c r="Q309" s="3"/>
      <c r="R309" s="3"/>
      <c r="S309" s="3"/>
      <c r="T309" s="3"/>
      <c r="U309" s="3"/>
      <c r="V309" s="3"/>
      <c r="W309" s="3"/>
    </row>
    <row r="310" ht="15.75" customHeight="1">
      <c r="A310" s="3" t="s">
        <v>100</v>
      </c>
      <c r="B310" s="3" t="s">
        <v>9</v>
      </c>
      <c r="C310" s="3" t="s">
        <v>16</v>
      </c>
      <c r="D310" s="4">
        <v>45677.0</v>
      </c>
      <c r="E310" s="3">
        <v>25.0</v>
      </c>
      <c r="F310" s="5">
        <v>2.0</v>
      </c>
      <c r="G310" s="3">
        <v>1445.0</v>
      </c>
      <c r="H310" s="3" t="str">
        <f>VLOOKUP(B310,'Currency Table'!$M$3:$N$6,2, FALSE)</f>
        <v>PLN</v>
      </c>
      <c r="I310" s="3"/>
      <c r="J310" s="3"/>
      <c r="K310" s="3"/>
      <c r="L310" s="3"/>
      <c r="M310" s="3"/>
      <c r="N310" s="3"/>
      <c r="O310" s="7"/>
      <c r="P310" s="3"/>
      <c r="Q310" s="3"/>
      <c r="R310" s="3"/>
      <c r="S310" s="3"/>
      <c r="T310" s="3"/>
      <c r="U310" s="3"/>
      <c r="V310" s="3"/>
      <c r="W310" s="3"/>
    </row>
    <row r="311" ht="15.75" customHeight="1">
      <c r="A311" s="3" t="s">
        <v>111</v>
      </c>
      <c r="B311" s="3" t="s">
        <v>9</v>
      </c>
      <c r="C311" s="3" t="s">
        <v>10</v>
      </c>
      <c r="D311" s="4">
        <v>45677.0</v>
      </c>
      <c r="E311" s="3">
        <v>25.0</v>
      </c>
      <c r="F311" s="5">
        <v>1.0</v>
      </c>
      <c r="G311" s="3">
        <v>1567.0</v>
      </c>
      <c r="H311" s="3" t="str">
        <f>VLOOKUP(B311,'Currency Table'!$M$3:$N$6,2, FALSE)</f>
        <v>PLN</v>
      </c>
      <c r="I311" s="3"/>
      <c r="J311" s="3"/>
      <c r="K311" s="3"/>
      <c r="L311" s="3"/>
      <c r="M311" s="3"/>
      <c r="N311" s="3"/>
      <c r="O311" s="7"/>
      <c r="P311" s="3"/>
      <c r="Q311" s="3"/>
      <c r="R311" s="3"/>
      <c r="S311" s="3"/>
      <c r="T311" s="3"/>
      <c r="U311" s="3"/>
      <c r="V311" s="3"/>
      <c r="W311" s="3"/>
    </row>
    <row r="312" ht="15.75" customHeight="1">
      <c r="A312" s="3" t="s">
        <v>125</v>
      </c>
      <c r="B312" s="3" t="s">
        <v>9</v>
      </c>
      <c r="C312" s="3" t="s">
        <v>23</v>
      </c>
      <c r="D312" s="4">
        <v>45677.0</v>
      </c>
      <c r="E312" s="3">
        <v>70.0</v>
      </c>
      <c r="F312" s="5">
        <v>4.0</v>
      </c>
      <c r="G312" s="3">
        <v>4413.0</v>
      </c>
      <c r="H312" s="3" t="str">
        <f>VLOOKUP(B312,'Currency Table'!$M$3:$N$6,2, FALSE)</f>
        <v>PLN</v>
      </c>
      <c r="I312" s="3"/>
      <c r="J312" s="3"/>
      <c r="K312" s="3"/>
      <c r="L312" s="3"/>
      <c r="M312" s="3"/>
      <c r="N312" s="3"/>
      <c r="O312" s="7"/>
      <c r="P312" s="3"/>
      <c r="Q312" s="3"/>
      <c r="R312" s="3"/>
      <c r="S312" s="3"/>
      <c r="T312" s="3"/>
      <c r="U312" s="3"/>
      <c r="V312" s="3"/>
      <c r="W312" s="3"/>
    </row>
    <row r="313" ht="15.75" customHeight="1">
      <c r="A313" s="3" t="s">
        <v>118</v>
      </c>
      <c r="B313" s="3" t="s">
        <v>9</v>
      </c>
      <c r="C313" s="3" t="s">
        <v>10</v>
      </c>
      <c r="D313" s="4">
        <v>45677.0</v>
      </c>
      <c r="E313" s="3">
        <v>14.0</v>
      </c>
      <c r="F313" s="5">
        <v>1.0</v>
      </c>
      <c r="G313" s="3">
        <v>794.0</v>
      </c>
      <c r="H313" s="3" t="str">
        <f>VLOOKUP(B313,'Currency Table'!$M$3:$N$6,2, FALSE)</f>
        <v>PLN</v>
      </c>
      <c r="I313" s="3"/>
      <c r="J313" s="3"/>
      <c r="K313" s="3"/>
      <c r="L313" s="3"/>
      <c r="M313" s="3"/>
      <c r="N313" s="3"/>
      <c r="O313" s="7"/>
      <c r="P313" s="3"/>
      <c r="Q313" s="3"/>
      <c r="R313" s="3"/>
      <c r="S313" s="3"/>
      <c r="T313" s="3"/>
      <c r="U313" s="3"/>
      <c r="V313" s="3"/>
      <c r="W313" s="3"/>
    </row>
    <row r="314" ht="15.75" customHeight="1">
      <c r="A314" s="3" t="s">
        <v>122</v>
      </c>
      <c r="B314" s="3" t="s">
        <v>9</v>
      </c>
      <c r="C314" s="3" t="s">
        <v>10</v>
      </c>
      <c r="D314" s="4">
        <v>45677.0</v>
      </c>
      <c r="E314" s="3">
        <v>44.0</v>
      </c>
      <c r="F314" s="5">
        <v>0.0</v>
      </c>
      <c r="G314" s="3">
        <v>2019.0</v>
      </c>
      <c r="H314" s="3" t="str">
        <f>VLOOKUP(B314,'Currency Table'!$M$3:$N$6,2, FALSE)</f>
        <v>PLN</v>
      </c>
      <c r="I314" s="3"/>
      <c r="J314" s="3"/>
      <c r="K314" s="3"/>
      <c r="L314" s="3"/>
      <c r="M314" s="3"/>
      <c r="N314" s="3"/>
      <c r="O314" s="7"/>
      <c r="P314" s="3"/>
      <c r="Q314" s="3"/>
      <c r="R314" s="3"/>
      <c r="S314" s="3"/>
      <c r="T314" s="3"/>
      <c r="U314" s="3"/>
      <c r="V314" s="3"/>
      <c r="W314" s="3"/>
    </row>
    <row r="315" ht="15.75" customHeight="1">
      <c r="A315" s="3" t="s">
        <v>109</v>
      </c>
      <c r="B315" s="3" t="s">
        <v>9</v>
      </c>
      <c r="C315" s="3" t="s">
        <v>16</v>
      </c>
      <c r="D315" s="4">
        <v>45677.0</v>
      </c>
      <c r="E315" s="3">
        <v>18.0</v>
      </c>
      <c r="F315" s="5">
        <v>2.0</v>
      </c>
      <c r="G315" s="3">
        <v>1995.0</v>
      </c>
      <c r="H315" s="3" t="str">
        <f>VLOOKUP(B315,'Currency Table'!$M$3:$N$6,2, FALSE)</f>
        <v>PLN</v>
      </c>
      <c r="I315" s="3"/>
      <c r="J315" s="3"/>
      <c r="K315" s="3"/>
      <c r="L315" s="3"/>
      <c r="M315" s="3"/>
      <c r="N315" s="3"/>
      <c r="O315" s="7"/>
      <c r="P315" s="3"/>
      <c r="Q315" s="3"/>
      <c r="R315" s="3"/>
      <c r="S315" s="3"/>
      <c r="T315" s="3"/>
      <c r="U315" s="3"/>
      <c r="V315" s="3"/>
      <c r="W315" s="3"/>
    </row>
    <row r="316" ht="15.75" customHeight="1">
      <c r="A316" s="3" t="s">
        <v>119</v>
      </c>
      <c r="B316" s="3" t="s">
        <v>9</v>
      </c>
      <c r="C316" s="3" t="s">
        <v>16</v>
      </c>
      <c r="D316" s="4">
        <v>45677.0</v>
      </c>
      <c r="E316" s="3">
        <v>45.0</v>
      </c>
      <c r="F316" s="5">
        <v>3.0</v>
      </c>
      <c r="G316" s="3">
        <v>2110.0</v>
      </c>
      <c r="H316" s="3" t="str">
        <f>VLOOKUP(B316,'Currency Table'!$M$3:$N$6,2, FALSE)</f>
        <v>PLN</v>
      </c>
      <c r="I316" s="3"/>
      <c r="J316" s="3"/>
      <c r="K316" s="3"/>
      <c r="L316" s="3"/>
      <c r="M316" s="3"/>
      <c r="N316" s="3"/>
      <c r="O316" s="7"/>
      <c r="P316" s="3"/>
      <c r="Q316" s="3"/>
      <c r="R316" s="3"/>
      <c r="S316" s="3"/>
      <c r="T316" s="3"/>
      <c r="U316" s="3"/>
      <c r="V316" s="3"/>
      <c r="W316" s="3"/>
    </row>
    <row r="317" ht="15.75" customHeight="1">
      <c r="A317" s="3" t="s">
        <v>121</v>
      </c>
      <c r="B317" s="3" t="s">
        <v>9</v>
      </c>
      <c r="C317" s="3" t="s">
        <v>16</v>
      </c>
      <c r="D317" s="4">
        <v>45677.0</v>
      </c>
      <c r="E317" s="3">
        <v>39.0</v>
      </c>
      <c r="F317" s="5">
        <v>3.0</v>
      </c>
      <c r="G317" s="3">
        <v>2682.0</v>
      </c>
      <c r="H317" s="3" t="str">
        <f>VLOOKUP(B317,'Currency Table'!$M$3:$N$6,2, FALSE)</f>
        <v>PLN</v>
      </c>
      <c r="I317" s="3"/>
      <c r="J317" s="3"/>
      <c r="K317" s="3"/>
      <c r="L317" s="3"/>
      <c r="M317" s="3"/>
      <c r="N317" s="3"/>
      <c r="O317" s="7"/>
      <c r="P317" s="3"/>
      <c r="Q317" s="3"/>
      <c r="R317" s="3"/>
      <c r="S317" s="3"/>
      <c r="T317" s="3"/>
      <c r="U317" s="3"/>
      <c r="V317" s="3"/>
      <c r="W317" s="3"/>
    </row>
    <row r="318" ht="15.75" customHeight="1">
      <c r="A318" s="3" t="s">
        <v>126</v>
      </c>
      <c r="B318" s="3" t="s">
        <v>9</v>
      </c>
      <c r="C318" s="3" t="s">
        <v>23</v>
      </c>
      <c r="D318" s="4">
        <v>45677.0</v>
      </c>
      <c r="E318" s="3">
        <v>39.0</v>
      </c>
      <c r="F318" s="5">
        <v>0.0</v>
      </c>
      <c r="G318" s="3">
        <v>2219.0</v>
      </c>
      <c r="H318" s="3" t="str">
        <f>VLOOKUP(B318,'Currency Table'!$M$3:$N$6,2, FALSE)</f>
        <v>PLN</v>
      </c>
      <c r="I318" s="3"/>
      <c r="J318" s="3"/>
      <c r="K318" s="3"/>
      <c r="L318" s="3"/>
      <c r="M318" s="3"/>
      <c r="N318" s="3"/>
      <c r="O318" s="7"/>
      <c r="P318" s="3"/>
      <c r="Q318" s="3"/>
      <c r="R318" s="3"/>
      <c r="S318" s="3"/>
      <c r="T318" s="3"/>
      <c r="U318" s="3"/>
      <c r="V318" s="3"/>
      <c r="W318" s="3"/>
    </row>
    <row r="319" ht="15.75" customHeight="1">
      <c r="A319" s="3" t="s">
        <v>15</v>
      </c>
      <c r="B319" s="3" t="s">
        <v>9</v>
      </c>
      <c r="C319" s="3" t="s">
        <v>16</v>
      </c>
      <c r="D319" s="4">
        <v>45684.0</v>
      </c>
      <c r="E319" s="3">
        <v>44.0</v>
      </c>
      <c r="F319" s="5">
        <v>2.0</v>
      </c>
      <c r="G319" s="3">
        <v>2222.0</v>
      </c>
      <c r="H319" s="3" t="str">
        <f>VLOOKUP(B319,'Currency Table'!$M$3:$N$6,2, FALSE)</f>
        <v>PLN</v>
      </c>
      <c r="I319" s="3"/>
      <c r="J319" s="3"/>
      <c r="K319" s="3"/>
      <c r="L319" s="3"/>
      <c r="M319" s="3"/>
      <c r="N319" s="3"/>
      <c r="O319" s="7"/>
      <c r="P319" s="3"/>
      <c r="Q319" s="3"/>
      <c r="R319" s="3"/>
      <c r="S319" s="3"/>
      <c r="T319" s="3"/>
      <c r="U319" s="3"/>
      <c r="V319" s="3"/>
      <c r="W319" s="3"/>
    </row>
    <row r="320" ht="15.75" customHeight="1">
      <c r="A320" s="3" t="s">
        <v>17</v>
      </c>
      <c r="B320" s="3" t="s">
        <v>9</v>
      </c>
      <c r="C320" s="3" t="s">
        <v>16</v>
      </c>
      <c r="D320" s="4">
        <v>45684.0</v>
      </c>
      <c r="E320" s="3">
        <v>59.0</v>
      </c>
      <c r="F320" s="5">
        <v>2.0</v>
      </c>
      <c r="G320" s="3">
        <v>3578.0</v>
      </c>
      <c r="H320" s="3" t="str">
        <f>VLOOKUP(B320,'Currency Table'!$M$3:$N$6,2, FALSE)</f>
        <v>PLN</v>
      </c>
      <c r="I320" s="3"/>
      <c r="J320" s="3"/>
      <c r="K320" s="3"/>
      <c r="L320" s="3"/>
      <c r="M320" s="3"/>
      <c r="N320" s="3"/>
      <c r="O320" s="7"/>
      <c r="P320" s="3"/>
      <c r="Q320" s="3"/>
      <c r="R320" s="3"/>
      <c r="S320" s="3"/>
      <c r="T320" s="3"/>
      <c r="U320" s="3"/>
      <c r="V320" s="3"/>
      <c r="W320" s="3"/>
    </row>
    <row r="321" ht="15.75" customHeight="1">
      <c r="A321" s="3" t="s">
        <v>13</v>
      </c>
      <c r="B321" s="3" t="s">
        <v>9</v>
      </c>
      <c r="C321" s="3" t="s">
        <v>14</v>
      </c>
      <c r="D321" s="4">
        <v>45684.0</v>
      </c>
      <c r="E321" s="3">
        <v>65.0</v>
      </c>
      <c r="F321" s="5">
        <v>3.0</v>
      </c>
      <c r="G321" s="3">
        <v>3923.0</v>
      </c>
      <c r="H321" s="3" t="str">
        <f>VLOOKUP(B321,'Currency Table'!$M$3:$N$6,2, FALSE)</f>
        <v>PLN</v>
      </c>
      <c r="I321" s="3"/>
      <c r="J321" s="3"/>
      <c r="K321" s="3"/>
      <c r="L321" s="3"/>
      <c r="M321" s="3"/>
      <c r="N321" s="3"/>
      <c r="O321" s="7"/>
      <c r="P321" s="3"/>
      <c r="Q321" s="3"/>
      <c r="R321" s="3"/>
      <c r="S321" s="3"/>
      <c r="T321" s="3"/>
      <c r="U321" s="3"/>
      <c r="V321" s="3"/>
      <c r="W321" s="3"/>
    </row>
    <row r="322" ht="15.75" customHeight="1">
      <c r="A322" s="3" t="s">
        <v>19</v>
      </c>
      <c r="B322" s="3" t="s">
        <v>9</v>
      </c>
      <c r="C322" s="3" t="s">
        <v>14</v>
      </c>
      <c r="D322" s="4">
        <v>45684.0</v>
      </c>
      <c r="E322" s="3">
        <v>62.0</v>
      </c>
      <c r="F322" s="5">
        <v>1.0</v>
      </c>
      <c r="G322" s="3">
        <v>4006.0</v>
      </c>
      <c r="H322" s="3" t="str">
        <f>VLOOKUP(B322,'Currency Table'!$M$3:$N$6,2, FALSE)</f>
        <v>PLN</v>
      </c>
      <c r="I322" s="3"/>
      <c r="J322" s="3"/>
      <c r="K322" s="3"/>
      <c r="L322" s="3"/>
      <c r="M322" s="3"/>
      <c r="N322" s="3"/>
      <c r="O322" s="7"/>
      <c r="P322" s="3"/>
      <c r="Q322" s="3"/>
      <c r="R322" s="3"/>
      <c r="S322" s="3"/>
      <c r="T322" s="3"/>
      <c r="U322" s="3"/>
      <c r="V322" s="3"/>
      <c r="W322" s="3"/>
    </row>
    <row r="323" ht="15.75" customHeight="1">
      <c r="A323" s="3" t="s">
        <v>102</v>
      </c>
      <c r="B323" s="3" t="s">
        <v>9</v>
      </c>
      <c r="C323" s="3" t="s">
        <v>30</v>
      </c>
      <c r="D323" s="4">
        <v>45684.0</v>
      </c>
      <c r="E323" s="3">
        <v>35.0</v>
      </c>
      <c r="F323" s="5">
        <v>0.0</v>
      </c>
      <c r="G323" s="3">
        <v>2472.0</v>
      </c>
      <c r="H323" s="3" t="str">
        <f>VLOOKUP(B323,'Currency Table'!$M$3:$N$6,2, FALSE)</f>
        <v>PLN</v>
      </c>
      <c r="I323" s="3"/>
      <c r="J323" s="3"/>
      <c r="K323" s="3"/>
      <c r="L323" s="3"/>
      <c r="M323" s="3"/>
      <c r="N323" s="3"/>
      <c r="O323" s="7"/>
      <c r="P323" s="3"/>
      <c r="Q323" s="3"/>
      <c r="R323" s="3"/>
      <c r="S323" s="3"/>
      <c r="T323" s="3"/>
      <c r="U323" s="3"/>
      <c r="V323" s="3"/>
      <c r="W323" s="3"/>
    </row>
    <row r="324" ht="15.75" customHeight="1">
      <c r="A324" s="3" t="s">
        <v>8</v>
      </c>
      <c r="B324" s="3" t="s">
        <v>9</v>
      </c>
      <c r="C324" s="3" t="s">
        <v>10</v>
      </c>
      <c r="D324" s="4">
        <v>45684.0</v>
      </c>
      <c r="E324" s="3">
        <v>55.0</v>
      </c>
      <c r="F324" s="5">
        <v>0.0</v>
      </c>
      <c r="G324" s="3">
        <v>3070.0</v>
      </c>
      <c r="H324" s="3" t="str">
        <f>VLOOKUP(B324,'Currency Table'!$M$3:$N$6,2, FALSE)</f>
        <v>PLN</v>
      </c>
      <c r="I324" s="3"/>
      <c r="J324" s="3"/>
      <c r="K324" s="3"/>
      <c r="L324" s="3"/>
      <c r="M324" s="3"/>
      <c r="N324" s="3"/>
      <c r="O324" s="7"/>
      <c r="P324" s="3"/>
      <c r="Q324" s="3"/>
      <c r="R324" s="3"/>
      <c r="S324" s="3"/>
      <c r="T324" s="3"/>
      <c r="U324" s="3"/>
      <c r="V324" s="3"/>
      <c r="W324" s="3"/>
    </row>
    <row r="325" ht="15.75" customHeight="1">
      <c r="A325" s="3" t="s">
        <v>22</v>
      </c>
      <c r="B325" s="3" t="s">
        <v>9</v>
      </c>
      <c r="C325" s="3" t="s">
        <v>23</v>
      </c>
      <c r="D325" s="4">
        <v>45684.0</v>
      </c>
      <c r="E325" s="3">
        <v>12.0</v>
      </c>
      <c r="F325" s="5">
        <v>2.0</v>
      </c>
      <c r="G325" s="3">
        <v>694.0</v>
      </c>
      <c r="H325" s="3" t="str">
        <f>VLOOKUP(B325,'Currency Table'!$M$3:$N$6,2, FALSE)</f>
        <v>PLN</v>
      </c>
      <c r="I325" s="3"/>
      <c r="J325" s="3"/>
      <c r="K325" s="3"/>
      <c r="L325" s="3"/>
      <c r="M325" s="3"/>
      <c r="N325" s="3"/>
      <c r="O325" s="7"/>
      <c r="P325" s="3"/>
      <c r="Q325" s="3"/>
      <c r="R325" s="3"/>
      <c r="S325" s="3"/>
      <c r="T325" s="3"/>
      <c r="U325" s="3"/>
      <c r="V325" s="3"/>
      <c r="W325" s="3"/>
    </row>
    <row r="326" ht="15.75" customHeight="1">
      <c r="A326" s="3" t="s">
        <v>21</v>
      </c>
      <c r="B326" s="3" t="s">
        <v>9</v>
      </c>
      <c r="C326" s="3" t="s">
        <v>16</v>
      </c>
      <c r="D326" s="4">
        <v>45684.0</v>
      </c>
      <c r="E326" s="3">
        <v>32.0</v>
      </c>
      <c r="F326" s="5">
        <v>5.0</v>
      </c>
      <c r="G326" s="3">
        <v>2006.0</v>
      </c>
      <c r="H326" s="3" t="str">
        <f>VLOOKUP(B326,'Currency Table'!$M$3:$N$6,2, FALSE)</f>
        <v>PLN</v>
      </c>
      <c r="I326" s="3"/>
      <c r="J326" s="3"/>
      <c r="K326" s="3"/>
      <c r="L326" s="3"/>
      <c r="M326" s="3"/>
      <c r="N326" s="3"/>
      <c r="O326" s="7"/>
      <c r="P326" s="3"/>
      <c r="Q326" s="3"/>
      <c r="R326" s="3"/>
      <c r="S326" s="3"/>
      <c r="T326" s="3"/>
      <c r="U326" s="3"/>
      <c r="V326" s="3"/>
      <c r="W326" s="3"/>
    </row>
    <row r="327" ht="15.75" customHeight="1">
      <c r="A327" s="3" t="s">
        <v>25</v>
      </c>
      <c r="B327" s="3" t="s">
        <v>9</v>
      </c>
      <c r="C327" s="3" t="s">
        <v>10</v>
      </c>
      <c r="D327" s="4">
        <v>45684.0</v>
      </c>
      <c r="E327" s="3">
        <v>67.0</v>
      </c>
      <c r="F327" s="5">
        <v>0.0</v>
      </c>
      <c r="G327" s="3">
        <v>4121.0</v>
      </c>
      <c r="H327" s="3" t="str">
        <f>VLOOKUP(B327,'Currency Table'!$M$3:$N$6,2, FALSE)</f>
        <v>PLN</v>
      </c>
      <c r="I327" s="3"/>
      <c r="J327" s="3"/>
      <c r="K327" s="3"/>
      <c r="L327" s="3"/>
      <c r="M327" s="3"/>
      <c r="N327" s="3"/>
      <c r="O327" s="7"/>
      <c r="P327" s="3"/>
      <c r="Q327" s="3"/>
      <c r="R327" s="3"/>
      <c r="S327" s="3"/>
      <c r="T327" s="3"/>
      <c r="U327" s="3"/>
      <c r="V327" s="3"/>
      <c r="W327" s="3"/>
    </row>
    <row r="328" ht="15.75" customHeight="1">
      <c r="A328" s="3" t="s">
        <v>24</v>
      </c>
      <c r="B328" s="3" t="s">
        <v>9</v>
      </c>
      <c r="C328" s="3" t="s">
        <v>23</v>
      </c>
      <c r="D328" s="4">
        <v>45684.0</v>
      </c>
      <c r="E328" s="3">
        <v>25.0</v>
      </c>
      <c r="F328" s="5">
        <v>4.0</v>
      </c>
      <c r="G328" s="3">
        <v>1284.0</v>
      </c>
      <c r="H328" s="3" t="str">
        <f>VLOOKUP(B328,'Currency Table'!$M$3:$N$6,2, FALSE)</f>
        <v>PLN</v>
      </c>
      <c r="I328" s="3"/>
      <c r="J328" s="3"/>
      <c r="K328" s="3"/>
      <c r="L328" s="3"/>
      <c r="M328" s="3"/>
      <c r="N328" s="3"/>
      <c r="O328" s="7"/>
      <c r="P328" s="3"/>
      <c r="Q328" s="3"/>
      <c r="R328" s="3"/>
      <c r="S328" s="3"/>
      <c r="T328" s="3"/>
      <c r="U328" s="3"/>
      <c r="V328" s="3"/>
      <c r="W328" s="3"/>
    </row>
    <row r="329" ht="15.75" customHeight="1">
      <c r="A329" s="3" t="s">
        <v>27</v>
      </c>
      <c r="B329" s="3" t="s">
        <v>9</v>
      </c>
      <c r="C329" s="3" t="s">
        <v>23</v>
      </c>
      <c r="D329" s="4">
        <v>45684.0</v>
      </c>
      <c r="E329" s="3">
        <v>25.0</v>
      </c>
      <c r="F329" s="5">
        <v>2.0</v>
      </c>
      <c r="G329" s="3">
        <v>1961.0</v>
      </c>
      <c r="H329" s="3" t="str">
        <f>VLOOKUP(B329,'Currency Table'!$M$3:$N$6,2, FALSE)</f>
        <v>PLN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5.75" customHeight="1">
      <c r="A330" s="3" t="s">
        <v>28</v>
      </c>
      <c r="B330" s="3" t="s">
        <v>9</v>
      </c>
      <c r="C330" s="3" t="s">
        <v>10</v>
      </c>
      <c r="D330" s="4">
        <v>45684.0</v>
      </c>
      <c r="E330" s="3">
        <v>62.0</v>
      </c>
      <c r="F330" s="5">
        <v>3.0</v>
      </c>
      <c r="G330" s="3">
        <v>4269.0</v>
      </c>
      <c r="H330" s="3" t="str">
        <f>VLOOKUP(B330,'Currency Table'!$M$3:$N$6,2, FALSE)</f>
        <v>PLN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5.75" customHeight="1">
      <c r="A331" s="3" t="s">
        <v>47</v>
      </c>
      <c r="B331" s="3" t="s">
        <v>9</v>
      </c>
      <c r="C331" s="3" t="s">
        <v>16</v>
      </c>
      <c r="D331" s="4">
        <v>45684.0</v>
      </c>
      <c r="E331" s="3">
        <v>27.0</v>
      </c>
      <c r="F331" s="5">
        <v>5.0</v>
      </c>
      <c r="G331" s="3">
        <v>1748.0</v>
      </c>
      <c r="H331" s="3" t="str">
        <f>VLOOKUP(B331,'Currency Table'!$M$3:$N$6,2, FALSE)</f>
        <v>PLN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5.75" customHeight="1">
      <c r="A332" s="3" t="s">
        <v>33</v>
      </c>
      <c r="B332" s="3" t="s">
        <v>9</v>
      </c>
      <c r="C332" s="3" t="s">
        <v>10</v>
      </c>
      <c r="D332" s="4">
        <v>45684.0</v>
      </c>
      <c r="E332" s="3">
        <v>11.0</v>
      </c>
      <c r="F332" s="5">
        <v>1.0</v>
      </c>
      <c r="G332" s="3">
        <v>756.0</v>
      </c>
      <c r="H332" s="3" t="str">
        <f>VLOOKUP(B332,'Currency Table'!$M$3:$N$6,2, FALSE)</f>
        <v>PLN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5.75" customHeight="1">
      <c r="A333" s="3" t="s">
        <v>20</v>
      </c>
      <c r="B333" s="3" t="s">
        <v>9</v>
      </c>
      <c r="C333" s="3" t="s">
        <v>12</v>
      </c>
      <c r="D333" s="4">
        <v>45684.0</v>
      </c>
      <c r="E333" s="3">
        <v>37.0</v>
      </c>
      <c r="F333" s="5">
        <v>2.0</v>
      </c>
      <c r="G333" s="3">
        <v>2731.0</v>
      </c>
      <c r="H333" s="3" t="str">
        <f>VLOOKUP(B333,'Currency Table'!$M$3:$N$6,2, FALSE)</f>
        <v>PLN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5.75" customHeight="1">
      <c r="A334" s="3" t="s">
        <v>106</v>
      </c>
      <c r="B334" s="3" t="s">
        <v>9</v>
      </c>
      <c r="C334" s="3" t="s">
        <v>30</v>
      </c>
      <c r="D334" s="4">
        <v>45684.0</v>
      </c>
      <c r="E334" s="3">
        <v>61.0</v>
      </c>
      <c r="F334" s="5">
        <v>4.0</v>
      </c>
      <c r="G334" s="3">
        <v>4332.0</v>
      </c>
      <c r="H334" s="3" t="str">
        <f>VLOOKUP(B334,'Currency Table'!$M$3:$N$6,2, FALSE)</f>
        <v>PLN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5.75" customHeight="1">
      <c r="A335" s="3" t="s">
        <v>107</v>
      </c>
      <c r="B335" s="3" t="s">
        <v>9</v>
      </c>
      <c r="C335" s="3" t="s">
        <v>30</v>
      </c>
      <c r="D335" s="4">
        <v>45684.0</v>
      </c>
      <c r="E335" s="3">
        <v>11.0</v>
      </c>
      <c r="F335" s="5">
        <v>5.0</v>
      </c>
      <c r="G335" s="3">
        <v>1255.0</v>
      </c>
      <c r="H335" s="3" t="str">
        <f>VLOOKUP(B335,'Currency Table'!$M$3:$N$6,2, FALSE)</f>
        <v>PLN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5.75" customHeight="1">
      <c r="A336" s="3" t="s">
        <v>108</v>
      </c>
      <c r="B336" s="3" t="s">
        <v>9</v>
      </c>
      <c r="C336" s="3" t="s">
        <v>30</v>
      </c>
      <c r="D336" s="4">
        <v>45684.0</v>
      </c>
      <c r="E336" s="3">
        <v>70.0</v>
      </c>
      <c r="F336" s="5">
        <v>3.0</v>
      </c>
      <c r="G336" s="3">
        <v>4248.0</v>
      </c>
      <c r="H336" s="3" t="str">
        <f>VLOOKUP(B336,'Currency Table'!$M$3:$N$6,2, FALSE)</f>
        <v>PLN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5.75" customHeight="1">
      <c r="A337" s="3" t="s">
        <v>26</v>
      </c>
      <c r="B337" s="3" t="s">
        <v>9</v>
      </c>
      <c r="C337" s="3" t="s">
        <v>12</v>
      </c>
      <c r="D337" s="4">
        <v>45684.0</v>
      </c>
      <c r="E337" s="3">
        <v>15.0</v>
      </c>
      <c r="F337" s="5">
        <v>1.0</v>
      </c>
      <c r="G337" s="3">
        <v>1010.0</v>
      </c>
      <c r="H337" s="3" t="str">
        <f>VLOOKUP(B337,'Currency Table'!$M$3:$N$6,2, FALSE)</f>
        <v>PLN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5.75" customHeight="1">
      <c r="A338" s="3" t="s">
        <v>32</v>
      </c>
      <c r="B338" s="3" t="s">
        <v>9</v>
      </c>
      <c r="C338" s="3" t="s">
        <v>14</v>
      </c>
      <c r="D338" s="4">
        <v>45684.0</v>
      </c>
      <c r="E338" s="3">
        <v>50.0</v>
      </c>
      <c r="F338" s="5">
        <v>0.0</v>
      </c>
      <c r="G338" s="3">
        <v>3459.0</v>
      </c>
      <c r="H338" s="3" t="str">
        <f>VLOOKUP(B338,'Currency Table'!$M$3:$N$6,2, FALSE)</f>
        <v>PLN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5.75" customHeight="1">
      <c r="A339" s="3" t="s">
        <v>42</v>
      </c>
      <c r="B339" s="3" t="s">
        <v>9</v>
      </c>
      <c r="C339" s="3" t="s">
        <v>23</v>
      </c>
      <c r="D339" s="4">
        <v>45684.0</v>
      </c>
      <c r="E339" s="3">
        <v>69.0</v>
      </c>
      <c r="F339" s="5">
        <v>1.0</v>
      </c>
      <c r="G339" s="3">
        <v>4403.0</v>
      </c>
      <c r="H339" s="3" t="str">
        <f>VLOOKUP(B339,'Currency Table'!$M$3:$N$6,2, FALSE)</f>
        <v>PLN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5.75" customHeight="1">
      <c r="A340" s="3" t="s">
        <v>34</v>
      </c>
      <c r="B340" s="3" t="s">
        <v>9</v>
      </c>
      <c r="C340" s="3" t="s">
        <v>10</v>
      </c>
      <c r="D340" s="4">
        <v>45684.0</v>
      </c>
      <c r="E340" s="3">
        <v>36.0</v>
      </c>
      <c r="F340" s="5">
        <v>2.0</v>
      </c>
      <c r="G340" s="3">
        <v>2887.0</v>
      </c>
      <c r="H340" s="3" t="str">
        <f>VLOOKUP(B340,'Currency Table'!$M$3:$N$6,2, FALSE)</f>
        <v>PLN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5.75" customHeight="1">
      <c r="A341" s="3" t="s">
        <v>35</v>
      </c>
      <c r="B341" s="3" t="s">
        <v>9</v>
      </c>
      <c r="C341" s="3" t="s">
        <v>10</v>
      </c>
      <c r="D341" s="4">
        <v>45684.0</v>
      </c>
      <c r="E341" s="3">
        <v>55.0</v>
      </c>
      <c r="F341" s="5">
        <v>3.0</v>
      </c>
      <c r="G341" s="3">
        <v>3686.0</v>
      </c>
      <c r="H341" s="3" t="str">
        <f>VLOOKUP(B341,'Currency Table'!$M$3:$N$6,2, FALSE)</f>
        <v>PLN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5.75" customHeight="1">
      <c r="A342" s="3" t="s">
        <v>44</v>
      </c>
      <c r="B342" s="3" t="s">
        <v>9</v>
      </c>
      <c r="C342" s="3" t="s">
        <v>23</v>
      </c>
      <c r="D342" s="4">
        <v>45684.0</v>
      </c>
      <c r="E342" s="3">
        <v>50.0</v>
      </c>
      <c r="F342" s="5">
        <v>3.0</v>
      </c>
      <c r="G342" s="3">
        <v>3650.0</v>
      </c>
      <c r="H342" s="3" t="str">
        <f>VLOOKUP(B342,'Currency Table'!$M$3:$N$6,2, FALSE)</f>
        <v>PLN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5.75" customHeight="1">
      <c r="A343" s="3" t="s">
        <v>31</v>
      </c>
      <c r="B343" s="3" t="s">
        <v>9</v>
      </c>
      <c r="C343" s="3" t="s">
        <v>12</v>
      </c>
      <c r="D343" s="4">
        <v>45684.0</v>
      </c>
      <c r="E343" s="3">
        <v>52.0</v>
      </c>
      <c r="F343" s="5">
        <v>4.0</v>
      </c>
      <c r="G343" s="3">
        <v>3415.0</v>
      </c>
      <c r="H343" s="3" t="str">
        <f>VLOOKUP(B343,'Currency Table'!$M$3:$N$6,2, FALSE)</f>
        <v>PLN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5.75" customHeight="1">
      <c r="A344" s="3" t="s">
        <v>49</v>
      </c>
      <c r="B344" s="3" t="s">
        <v>9</v>
      </c>
      <c r="C344" s="3" t="s">
        <v>14</v>
      </c>
      <c r="D344" s="4">
        <v>45684.0</v>
      </c>
      <c r="E344" s="3">
        <v>59.0</v>
      </c>
      <c r="F344" s="5">
        <v>4.0</v>
      </c>
      <c r="G344" s="3">
        <v>3648.0</v>
      </c>
      <c r="H344" s="3" t="str">
        <f>VLOOKUP(B344,'Currency Table'!$M$3:$N$6,2, FALSE)</f>
        <v>PLN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5.75" customHeight="1">
      <c r="A345" s="3" t="s">
        <v>57</v>
      </c>
      <c r="B345" s="3" t="s">
        <v>9</v>
      </c>
      <c r="C345" s="3" t="s">
        <v>23</v>
      </c>
      <c r="D345" s="4">
        <v>45684.0</v>
      </c>
      <c r="E345" s="3">
        <v>55.0</v>
      </c>
      <c r="F345" s="5">
        <v>4.0</v>
      </c>
      <c r="G345" s="3">
        <v>3220.0</v>
      </c>
      <c r="H345" s="3" t="str">
        <f>VLOOKUP(B345,'Currency Table'!$M$3:$N$6,2, FALSE)</f>
        <v>PLN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5.75" customHeight="1">
      <c r="A346" s="3" t="s">
        <v>62</v>
      </c>
      <c r="B346" s="3" t="s">
        <v>9</v>
      </c>
      <c r="C346" s="3" t="s">
        <v>23</v>
      </c>
      <c r="D346" s="4">
        <v>45684.0</v>
      </c>
      <c r="E346" s="3">
        <v>49.0</v>
      </c>
      <c r="F346" s="5">
        <v>4.0</v>
      </c>
      <c r="G346" s="3">
        <v>3348.0</v>
      </c>
      <c r="H346" s="3" t="str">
        <f>VLOOKUP(B346,'Currency Table'!$M$3:$N$6,2, FALSE)</f>
        <v>PLN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5.75" customHeight="1">
      <c r="A347" s="3" t="s">
        <v>51</v>
      </c>
      <c r="B347" s="3" t="s">
        <v>9</v>
      </c>
      <c r="C347" s="3" t="s">
        <v>14</v>
      </c>
      <c r="D347" s="4">
        <v>45684.0</v>
      </c>
      <c r="E347" s="3">
        <v>39.0</v>
      </c>
      <c r="F347" s="5">
        <v>3.0</v>
      </c>
      <c r="G347" s="3">
        <v>2128.0</v>
      </c>
      <c r="H347" s="3" t="str">
        <f>VLOOKUP(B347,'Currency Table'!$M$3:$N$6,2, FALSE)</f>
        <v>PLN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5.75" customHeight="1">
      <c r="A348" s="3" t="s">
        <v>40</v>
      </c>
      <c r="B348" s="3" t="s">
        <v>9</v>
      </c>
      <c r="C348" s="3" t="s">
        <v>12</v>
      </c>
      <c r="D348" s="4">
        <v>45684.0</v>
      </c>
      <c r="E348" s="3">
        <v>38.0</v>
      </c>
      <c r="F348" s="5">
        <v>4.0</v>
      </c>
      <c r="G348" s="3">
        <v>2889.0</v>
      </c>
      <c r="H348" s="3" t="str">
        <f>VLOOKUP(B348,'Currency Table'!$M$3:$N$6,2, FALSE)</f>
        <v>PLN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5.75" customHeight="1">
      <c r="A349" s="3" t="s">
        <v>48</v>
      </c>
      <c r="B349" s="3" t="s">
        <v>9</v>
      </c>
      <c r="C349" s="3" t="s">
        <v>16</v>
      </c>
      <c r="D349" s="4">
        <v>45684.0</v>
      </c>
      <c r="E349" s="3">
        <v>54.0</v>
      </c>
      <c r="F349" s="5">
        <v>5.0</v>
      </c>
      <c r="G349" s="3">
        <v>3151.0</v>
      </c>
      <c r="H349" s="3" t="str">
        <f>VLOOKUP(B349,'Currency Table'!$M$3:$N$6,2, FALSE)</f>
        <v>PLN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5.75" customHeight="1">
      <c r="A350" s="3" t="s">
        <v>66</v>
      </c>
      <c r="B350" s="3" t="s">
        <v>9</v>
      </c>
      <c r="C350" s="3" t="s">
        <v>23</v>
      </c>
      <c r="D350" s="4">
        <v>45684.0</v>
      </c>
      <c r="E350" s="3">
        <v>28.0</v>
      </c>
      <c r="F350" s="5">
        <v>4.0</v>
      </c>
      <c r="G350" s="3">
        <v>1796.0</v>
      </c>
      <c r="H350" s="3" t="str">
        <f>VLOOKUP(B350,'Currency Table'!$M$3:$N$6,2, FALSE)</f>
        <v>PLN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5.75" customHeight="1">
      <c r="A351" s="3" t="s">
        <v>37</v>
      </c>
      <c r="B351" s="3" t="s">
        <v>9</v>
      </c>
      <c r="C351" s="3" t="s">
        <v>10</v>
      </c>
      <c r="D351" s="4">
        <v>45684.0</v>
      </c>
      <c r="E351" s="3">
        <v>39.0</v>
      </c>
      <c r="F351" s="5">
        <v>4.0</v>
      </c>
      <c r="G351" s="3">
        <v>2221.0</v>
      </c>
      <c r="H351" s="3" t="str">
        <f>VLOOKUP(B351,'Currency Table'!$M$3:$N$6,2, FALSE)</f>
        <v>PLN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5.75" customHeight="1">
      <c r="A352" s="3" t="s">
        <v>69</v>
      </c>
      <c r="B352" s="3" t="s">
        <v>9</v>
      </c>
      <c r="C352" s="3" t="s">
        <v>23</v>
      </c>
      <c r="D352" s="4">
        <v>45684.0</v>
      </c>
      <c r="E352" s="3">
        <v>52.0</v>
      </c>
      <c r="F352" s="5">
        <v>4.0</v>
      </c>
      <c r="G352" s="3">
        <v>3686.0</v>
      </c>
      <c r="H352" s="3" t="str">
        <f>VLOOKUP(B352,'Currency Table'!$M$3:$N$6,2, FALSE)</f>
        <v>PLN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5.75" customHeight="1">
      <c r="A353" s="3" t="s">
        <v>50</v>
      </c>
      <c r="B353" s="3" t="s">
        <v>9</v>
      </c>
      <c r="C353" s="3" t="s">
        <v>16</v>
      </c>
      <c r="D353" s="4">
        <v>45684.0</v>
      </c>
      <c r="E353" s="3">
        <v>39.0</v>
      </c>
      <c r="F353" s="5">
        <v>5.0</v>
      </c>
      <c r="G353" s="3">
        <v>2837.0</v>
      </c>
      <c r="H353" s="3" t="str">
        <f>VLOOKUP(B353,'Currency Table'!$M$3:$N$6,2, FALSE)</f>
        <v>PLN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5.75" customHeight="1">
      <c r="A354" s="3" t="s">
        <v>38</v>
      </c>
      <c r="B354" s="3" t="s">
        <v>9</v>
      </c>
      <c r="C354" s="3" t="s">
        <v>10</v>
      </c>
      <c r="D354" s="4">
        <v>45684.0</v>
      </c>
      <c r="E354" s="3">
        <v>18.0</v>
      </c>
      <c r="F354" s="5">
        <v>4.0</v>
      </c>
      <c r="G354" s="3">
        <v>1363.0</v>
      </c>
      <c r="H354" s="3" t="str">
        <f>VLOOKUP(B354,'Currency Table'!$M$3:$N$6,2, FALSE)</f>
        <v>PLN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5.75" customHeight="1">
      <c r="A355" s="3" t="s">
        <v>53</v>
      </c>
      <c r="B355" s="3" t="s">
        <v>9</v>
      </c>
      <c r="C355" s="3" t="s">
        <v>14</v>
      </c>
      <c r="D355" s="4">
        <v>45684.0</v>
      </c>
      <c r="E355" s="3">
        <v>51.0</v>
      </c>
      <c r="F355" s="5">
        <v>0.0</v>
      </c>
      <c r="G355" s="3">
        <v>3006.0</v>
      </c>
      <c r="H355" s="3" t="str">
        <f>VLOOKUP(B355,'Currency Table'!$M$3:$N$6,2, FALSE)</f>
        <v>PLN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5.75" customHeight="1">
      <c r="A356" s="3" t="s">
        <v>64</v>
      </c>
      <c r="B356" s="3" t="s">
        <v>9</v>
      </c>
      <c r="C356" s="3" t="s">
        <v>14</v>
      </c>
      <c r="D356" s="4">
        <v>45684.0</v>
      </c>
      <c r="E356" s="3">
        <v>19.0</v>
      </c>
      <c r="F356" s="5">
        <v>2.0</v>
      </c>
      <c r="G356" s="3">
        <v>1647.0</v>
      </c>
      <c r="H356" s="3" t="str">
        <f>VLOOKUP(B356,'Currency Table'!$M$3:$N$6,2, FALSE)</f>
        <v>PLN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5.75" customHeight="1">
      <c r="A357" s="3" t="s">
        <v>70</v>
      </c>
      <c r="B357" s="3" t="s">
        <v>9</v>
      </c>
      <c r="C357" s="3" t="s">
        <v>23</v>
      </c>
      <c r="D357" s="4">
        <v>45684.0</v>
      </c>
      <c r="E357" s="3">
        <v>22.0</v>
      </c>
      <c r="F357" s="5">
        <v>3.0</v>
      </c>
      <c r="G357" s="3">
        <v>1824.0</v>
      </c>
      <c r="H357" s="3" t="str">
        <f>VLOOKUP(B357,'Currency Table'!$M$3:$N$6,2, FALSE)</f>
        <v>PLN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5.75" customHeight="1">
      <c r="A358" s="3" t="s">
        <v>52</v>
      </c>
      <c r="B358" s="3" t="s">
        <v>9</v>
      </c>
      <c r="C358" s="3" t="s">
        <v>16</v>
      </c>
      <c r="D358" s="4">
        <v>45684.0</v>
      </c>
      <c r="E358" s="3">
        <v>55.0</v>
      </c>
      <c r="F358" s="5">
        <v>5.0</v>
      </c>
      <c r="G358" s="3">
        <v>3597.0</v>
      </c>
      <c r="H358" s="3" t="str">
        <f>VLOOKUP(B358,'Currency Table'!$M$3:$N$6,2, FALSE)</f>
        <v>PLN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5.75" customHeight="1">
      <c r="A359" s="3" t="s">
        <v>76</v>
      </c>
      <c r="B359" s="3" t="s">
        <v>9</v>
      </c>
      <c r="C359" s="3" t="s">
        <v>14</v>
      </c>
      <c r="D359" s="4">
        <v>45684.0</v>
      </c>
      <c r="E359" s="3">
        <v>22.0</v>
      </c>
      <c r="F359" s="5">
        <v>0.0</v>
      </c>
      <c r="G359" s="3">
        <v>1854.0</v>
      </c>
      <c r="H359" s="3" t="str">
        <f>VLOOKUP(B359,'Currency Table'!$M$3:$N$6,2, FALSE)</f>
        <v>PLN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5.75" customHeight="1">
      <c r="A360" s="3" t="s">
        <v>82</v>
      </c>
      <c r="B360" s="3" t="s">
        <v>9</v>
      </c>
      <c r="C360" s="3" t="s">
        <v>14</v>
      </c>
      <c r="D360" s="4">
        <v>45684.0</v>
      </c>
      <c r="E360" s="3">
        <v>45.0</v>
      </c>
      <c r="F360" s="5">
        <v>4.0</v>
      </c>
      <c r="G360" s="3">
        <v>2000.0</v>
      </c>
      <c r="H360" s="3" t="str">
        <f>VLOOKUP(B360,'Currency Table'!$M$3:$N$6,2, FALSE)</f>
        <v>PLN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5.75" customHeight="1">
      <c r="A361" s="3" t="s">
        <v>73</v>
      </c>
      <c r="B361" s="3" t="s">
        <v>9</v>
      </c>
      <c r="C361" s="3" t="s">
        <v>23</v>
      </c>
      <c r="D361" s="4">
        <v>45684.0</v>
      </c>
      <c r="E361" s="3">
        <v>58.0</v>
      </c>
      <c r="F361" s="5">
        <v>4.0</v>
      </c>
      <c r="G361" s="3">
        <v>3155.0</v>
      </c>
      <c r="H361" s="3" t="str">
        <f>VLOOKUP(B361,'Currency Table'!$M$3:$N$6,2, FALSE)</f>
        <v>PLN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5.75" customHeight="1">
      <c r="A362" s="3" t="s">
        <v>39</v>
      </c>
      <c r="B362" s="3" t="s">
        <v>9</v>
      </c>
      <c r="C362" s="3" t="s">
        <v>10</v>
      </c>
      <c r="D362" s="4">
        <v>45684.0</v>
      </c>
      <c r="E362" s="3">
        <v>54.0</v>
      </c>
      <c r="F362" s="5">
        <v>3.0</v>
      </c>
      <c r="G362" s="3">
        <v>3828.0</v>
      </c>
      <c r="H362" s="3" t="str">
        <f>VLOOKUP(B362,'Currency Table'!$M$3:$N$6,2, FALSE)</f>
        <v>PLN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5.75" customHeight="1">
      <c r="A363" s="3" t="s">
        <v>41</v>
      </c>
      <c r="B363" s="3" t="s">
        <v>9</v>
      </c>
      <c r="C363" s="3" t="s">
        <v>10</v>
      </c>
      <c r="D363" s="4">
        <v>45684.0</v>
      </c>
      <c r="E363" s="3">
        <v>48.0</v>
      </c>
      <c r="F363" s="5">
        <v>1.0</v>
      </c>
      <c r="G363" s="3">
        <v>3580.0</v>
      </c>
      <c r="H363" s="3" t="str">
        <f>VLOOKUP(B363,'Currency Table'!$M$3:$N$6,2, FALSE)</f>
        <v>PLN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5.75" customHeight="1">
      <c r="A364" s="3" t="s">
        <v>54</v>
      </c>
      <c r="B364" s="3" t="s">
        <v>9</v>
      </c>
      <c r="C364" s="3" t="s">
        <v>16</v>
      </c>
      <c r="D364" s="4">
        <v>45684.0</v>
      </c>
      <c r="E364" s="3">
        <v>60.0</v>
      </c>
      <c r="F364" s="5">
        <v>2.0</v>
      </c>
      <c r="G364" s="3">
        <v>3690.0</v>
      </c>
      <c r="H364" s="3" t="str">
        <f>VLOOKUP(B364,'Currency Table'!$M$3:$N$6,2, FALSE)</f>
        <v>PLN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5.75" customHeight="1">
      <c r="A365" s="3" t="s">
        <v>59</v>
      </c>
      <c r="B365" s="3" t="s">
        <v>9</v>
      </c>
      <c r="C365" s="3" t="s">
        <v>12</v>
      </c>
      <c r="D365" s="4">
        <v>45684.0</v>
      </c>
      <c r="E365" s="3">
        <v>40.0</v>
      </c>
      <c r="F365" s="5">
        <v>2.0</v>
      </c>
      <c r="G365" s="3">
        <v>2377.0</v>
      </c>
      <c r="H365" s="3" t="str">
        <f>VLOOKUP(B365,'Currency Table'!$M$3:$N$6,2, FALSE)</f>
        <v>PLN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5.75" customHeight="1">
      <c r="A366" s="3" t="s">
        <v>56</v>
      </c>
      <c r="B366" s="3" t="s">
        <v>9</v>
      </c>
      <c r="C366" s="3" t="s">
        <v>10</v>
      </c>
      <c r="D366" s="4">
        <v>45684.0</v>
      </c>
      <c r="E366" s="3">
        <v>62.0</v>
      </c>
      <c r="F366" s="5">
        <v>1.0</v>
      </c>
      <c r="G366" s="3">
        <v>4387.0</v>
      </c>
      <c r="H366" s="3" t="str">
        <f>VLOOKUP(B366,'Currency Table'!$M$3:$N$6,2, FALSE)</f>
        <v>PLN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5.75" customHeight="1">
      <c r="A367" s="3" t="s">
        <v>55</v>
      </c>
      <c r="B367" s="3" t="s">
        <v>9</v>
      </c>
      <c r="C367" s="3" t="s">
        <v>16</v>
      </c>
      <c r="D367" s="4">
        <v>45684.0</v>
      </c>
      <c r="E367" s="3">
        <v>50.0</v>
      </c>
      <c r="F367" s="5">
        <v>5.0</v>
      </c>
      <c r="G367" s="3">
        <v>3482.0</v>
      </c>
      <c r="H367" s="3" t="str">
        <f>VLOOKUP(B367,'Currency Table'!$M$3:$N$6,2, FALSE)</f>
        <v>PLN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5.75" customHeight="1">
      <c r="A368" s="3" t="s">
        <v>61</v>
      </c>
      <c r="B368" s="3" t="s">
        <v>9</v>
      </c>
      <c r="C368" s="3" t="s">
        <v>12</v>
      </c>
      <c r="D368" s="4">
        <v>45684.0</v>
      </c>
      <c r="E368" s="3">
        <v>16.0</v>
      </c>
      <c r="F368" s="5">
        <v>0.0</v>
      </c>
      <c r="G368" s="3">
        <v>1783.0</v>
      </c>
      <c r="H368" s="3" t="str">
        <f>VLOOKUP(B368,'Currency Table'!$M$3:$N$6,2, FALSE)</f>
        <v>PLN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5.75" customHeight="1">
      <c r="A369" s="3" t="s">
        <v>58</v>
      </c>
      <c r="B369" s="3" t="s">
        <v>9</v>
      </c>
      <c r="C369" s="3" t="s">
        <v>16</v>
      </c>
      <c r="D369" s="4">
        <v>45684.0</v>
      </c>
      <c r="E369" s="3">
        <v>30.0</v>
      </c>
      <c r="F369" s="5">
        <v>1.0</v>
      </c>
      <c r="G369" s="3">
        <v>1317.0</v>
      </c>
      <c r="H369" s="3" t="str">
        <f>VLOOKUP(B369,'Currency Table'!$M$3:$N$6,2, FALSE)</f>
        <v>PLN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5.75" customHeight="1">
      <c r="A370" s="3" t="s">
        <v>86</v>
      </c>
      <c r="B370" s="3" t="s">
        <v>9</v>
      </c>
      <c r="C370" s="3" t="s">
        <v>14</v>
      </c>
      <c r="D370" s="4">
        <v>45684.0</v>
      </c>
      <c r="E370" s="3">
        <v>30.0</v>
      </c>
      <c r="F370" s="5">
        <v>4.0</v>
      </c>
      <c r="G370" s="3">
        <v>1617.0</v>
      </c>
      <c r="H370" s="3" t="str">
        <f>VLOOKUP(B370,'Currency Table'!$M$3:$N$6,2, FALSE)</f>
        <v>PLN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5.75" customHeight="1">
      <c r="A371" s="3" t="s">
        <v>115</v>
      </c>
      <c r="B371" s="3" t="s">
        <v>9</v>
      </c>
      <c r="C371" s="3" t="s">
        <v>30</v>
      </c>
      <c r="D371" s="4">
        <v>45684.0</v>
      </c>
      <c r="E371" s="3">
        <v>53.0</v>
      </c>
      <c r="F371" s="5">
        <v>4.0</v>
      </c>
      <c r="G371" s="3">
        <v>3557.0</v>
      </c>
      <c r="H371" s="3" t="str">
        <f>VLOOKUP(B371,'Currency Table'!$M$3:$N$6,2, FALSE)</f>
        <v>PLN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5.75" customHeight="1">
      <c r="A372" s="3" t="s">
        <v>71</v>
      </c>
      <c r="B372" s="3" t="s">
        <v>9</v>
      </c>
      <c r="C372" s="3" t="s">
        <v>16</v>
      </c>
      <c r="D372" s="4">
        <v>45684.0</v>
      </c>
      <c r="E372" s="3">
        <v>52.0</v>
      </c>
      <c r="F372" s="5">
        <v>6.0</v>
      </c>
      <c r="G372" s="3">
        <v>3370.0</v>
      </c>
      <c r="H372" s="3" t="str">
        <f>VLOOKUP(B372,'Currency Table'!$M$3:$N$6,2, FALSE)</f>
        <v>PLN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5.75" customHeight="1">
      <c r="A373" s="3" t="s">
        <v>74</v>
      </c>
      <c r="B373" s="3" t="s">
        <v>9</v>
      </c>
      <c r="C373" s="3" t="s">
        <v>16</v>
      </c>
      <c r="D373" s="4">
        <v>45684.0</v>
      </c>
      <c r="E373" s="3">
        <v>15.0</v>
      </c>
      <c r="F373" s="5">
        <v>4.0</v>
      </c>
      <c r="G373" s="3">
        <v>905.0</v>
      </c>
      <c r="H373" s="3" t="str">
        <f>VLOOKUP(B373,'Currency Table'!$M$3:$N$6,2, FALSE)</f>
        <v>PLN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5.75" customHeight="1">
      <c r="A374" s="3" t="s">
        <v>65</v>
      </c>
      <c r="B374" s="3" t="s">
        <v>9</v>
      </c>
      <c r="C374" s="3" t="s">
        <v>12</v>
      </c>
      <c r="D374" s="4">
        <v>45684.0</v>
      </c>
      <c r="E374" s="3">
        <v>68.0</v>
      </c>
      <c r="F374" s="5">
        <v>4.0</v>
      </c>
      <c r="G374" s="3">
        <v>4005.0</v>
      </c>
      <c r="H374" s="3" t="str">
        <f>VLOOKUP(B374,'Currency Table'!$M$3:$N$6,2, FALSE)</f>
        <v>PLN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5.75" customHeight="1">
      <c r="A375" s="3" t="s">
        <v>67</v>
      </c>
      <c r="B375" s="3" t="s">
        <v>9</v>
      </c>
      <c r="C375" s="3" t="s">
        <v>10</v>
      </c>
      <c r="D375" s="4">
        <v>45684.0</v>
      </c>
      <c r="E375" s="3">
        <v>37.0</v>
      </c>
      <c r="F375" s="5">
        <v>2.0</v>
      </c>
      <c r="G375" s="3">
        <v>2671.0</v>
      </c>
      <c r="H375" s="3" t="str">
        <f>VLOOKUP(B375,'Currency Table'!$M$3:$N$6,2, FALSE)</f>
        <v>PLN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5.75" customHeight="1">
      <c r="A376" s="3" t="s">
        <v>116</v>
      </c>
      <c r="B376" s="3" t="s">
        <v>9</v>
      </c>
      <c r="C376" s="3" t="s">
        <v>30</v>
      </c>
      <c r="D376" s="4">
        <v>45684.0</v>
      </c>
      <c r="E376" s="3">
        <v>21.0</v>
      </c>
      <c r="F376" s="5">
        <v>8.0</v>
      </c>
      <c r="G376" s="3">
        <v>1502.0</v>
      </c>
      <c r="H376" s="3" t="str">
        <f>VLOOKUP(B376,'Currency Table'!$M$3:$N$6,2, FALSE)</f>
        <v>PLN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5.75" customHeight="1">
      <c r="A377" s="3" t="s">
        <v>72</v>
      </c>
      <c r="B377" s="3" t="s">
        <v>9</v>
      </c>
      <c r="C377" s="3" t="s">
        <v>10</v>
      </c>
      <c r="D377" s="4">
        <v>45684.0</v>
      </c>
      <c r="E377" s="3">
        <v>24.0</v>
      </c>
      <c r="F377" s="5">
        <v>2.0</v>
      </c>
      <c r="G377" s="3">
        <v>1305.0</v>
      </c>
      <c r="H377" s="3" t="str">
        <f>VLOOKUP(B377,'Currency Table'!$M$3:$N$6,2, FALSE)</f>
        <v>PLN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5.75" customHeight="1">
      <c r="A378" s="3" t="s">
        <v>87</v>
      </c>
      <c r="B378" s="3" t="s">
        <v>9</v>
      </c>
      <c r="C378" s="3" t="s">
        <v>23</v>
      </c>
      <c r="D378" s="4">
        <v>45684.0</v>
      </c>
      <c r="E378" s="3">
        <v>29.0</v>
      </c>
      <c r="F378" s="5">
        <v>3.0</v>
      </c>
      <c r="G378" s="3">
        <v>1288.0</v>
      </c>
      <c r="H378" s="3" t="str">
        <f>VLOOKUP(B378,'Currency Table'!$M$3:$N$6,2, FALSE)</f>
        <v>PLN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5.75" customHeight="1">
      <c r="A379" s="3" t="s">
        <v>88</v>
      </c>
      <c r="B379" s="3" t="s">
        <v>9</v>
      </c>
      <c r="C379" s="3" t="s">
        <v>23</v>
      </c>
      <c r="D379" s="4">
        <v>45684.0</v>
      </c>
      <c r="E379" s="3">
        <v>10.0</v>
      </c>
      <c r="F379" s="5">
        <v>3.0</v>
      </c>
      <c r="G379" s="3">
        <v>864.0</v>
      </c>
      <c r="H379" s="3" t="str">
        <f>VLOOKUP(B379,'Currency Table'!$M$3:$N$6,2, FALSE)</f>
        <v>PLN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5.75" customHeight="1">
      <c r="A380" s="3" t="s">
        <v>77</v>
      </c>
      <c r="B380" s="3" t="s">
        <v>9</v>
      </c>
      <c r="C380" s="3" t="s">
        <v>10</v>
      </c>
      <c r="D380" s="4">
        <v>45684.0</v>
      </c>
      <c r="E380" s="3">
        <v>20.0</v>
      </c>
      <c r="F380" s="5">
        <v>0.0</v>
      </c>
      <c r="G380" s="3">
        <v>1039.0</v>
      </c>
      <c r="H380" s="3" t="str">
        <f>VLOOKUP(B380,'Currency Table'!$M$3:$N$6,2, FALSE)</f>
        <v>PLN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5.75" customHeight="1">
      <c r="A381" s="3" t="s">
        <v>103</v>
      </c>
      <c r="B381" s="3" t="s">
        <v>9</v>
      </c>
      <c r="C381" s="3" t="s">
        <v>23</v>
      </c>
      <c r="D381" s="4">
        <v>45684.0</v>
      </c>
      <c r="E381" s="3">
        <v>31.0</v>
      </c>
      <c r="F381" s="5">
        <v>4.0</v>
      </c>
      <c r="G381" s="3">
        <v>2737.0</v>
      </c>
      <c r="H381" s="3" t="str">
        <f>VLOOKUP(B381,'Currency Table'!$M$3:$N$6,2, FALSE)</f>
        <v>PLN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5.75" customHeight="1">
      <c r="A382" s="3" t="s">
        <v>99</v>
      </c>
      <c r="B382" s="3" t="s">
        <v>9</v>
      </c>
      <c r="C382" s="3" t="s">
        <v>14</v>
      </c>
      <c r="D382" s="4">
        <v>45684.0</v>
      </c>
      <c r="E382" s="3">
        <v>52.0</v>
      </c>
      <c r="F382" s="5">
        <v>5.0</v>
      </c>
      <c r="G382" s="3">
        <v>3100.0</v>
      </c>
      <c r="H382" s="3" t="str">
        <f>VLOOKUP(B382,'Currency Table'!$M$3:$N$6,2, FALSE)</f>
        <v>PLN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5.75" customHeight="1">
      <c r="A383" s="3" t="s">
        <v>93</v>
      </c>
      <c r="B383" s="3" t="s">
        <v>9</v>
      </c>
      <c r="C383" s="3" t="s">
        <v>10</v>
      </c>
      <c r="D383" s="4">
        <v>45684.0</v>
      </c>
      <c r="E383" s="3">
        <v>29.0</v>
      </c>
      <c r="F383" s="5">
        <v>5.0</v>
      </c>
      <c r="G383" s="3">
        <v>1745.0</v>
      </c>
      <c r="H383" s="3" t="str">
        <f>VLOOKUP(B383,'Currency Table'!$M$3:$N$6,2, FALSE)</f>
        <v>PLN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5.75" customHeight="1">
      <c r="A384" s="3" t="s">
        <v>111</v>
      </c>
      <c r="B384" s="3" t="s">
        <v>9</v>
      </c>
      <c r="C384" s="3" t="s">
        <v>10</v>
      </c>
      <c r="D384" s="4">
        <v>45684.0</v>
      </c>
      <c r="E384" s="3">
        <v>67.0</v>
      </c>
      <c r="F384" s="5">
        <v>2.0</v>
      </c>
      <c r="G384" s="3">
        <v>4443.0</v>
      </c>
      <c r="H384" s="3" t="str">
        <f>VLOOKUP(B384,'Currency Table'!$M$3:$N$6,2, FALSE)</f>
        <v>PLN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5.75" customHeight="1">
      <c r="A385" s="3" t="s">
        <v>110</v>
      </c>
      <c r="B385" s="3" t="s">
        <v>9</v>
      </c>
      <c r="C385" s="3" t="s">
        <v>23</v>
      </c>
      <c r="D385" s="4">
        <v>45684.0</v>
      </c>
      <c r="E385" s="3">
        <v>12.0</v>
      </c>
      <c r="F385" s="5">
        <v>0.0</v>
      </c>
      <c r="G385" s="3">
        <v>1060.0</v>
      </c>
      <c r="H385" s="3" t="str">
        <f>VLOOKUP(B385,'Currency Table'!$M$3:$N$6,2, FALSE)</f>
        <v>PLN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5.75" customHeight="1">
      <c r="A386" s="3" t="s">
        <v>104</v>
      </c>
      <c r="B386" s="3" t="s">
        <v>9</v>
      </c>
      <c r="C386" s="3" t="s">
        <v>14</v>
      </c>
      <c r="D386" s="4">
        <v>45684.0</v>
      </c>
      <c r="E386" s="3">
        <v>40.0</v>
      </c>
      <c r="F386" s="5">
        <v>1.0</v>
      </c>
      <c r="G386" s="3">
        <v>2497.0</v>
      </c>
      <c r="H386" s="3" t="str">
        <f>VLOOKUP(B386,'Currency Table'!$M$3:$N$6,2, FALSE)</f>
        <v>PLN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5.75" customHeight="1">
      <c r="A387" s="3" t="s">
        <v>105</v>
      </c>
      <c r="B387" s="3" t="s">
        <v>9</v>
      </c>
      <c r="C387" s="3" t="s">
        <v>14</v>
      </c>
      <c r="D387" s="4">
        <v>45684.0</v>
      </c>
      <c r="E387" s="3">
        <v>19.0</v>
      </c>
      <c r="F387" s="5">
        <v>3.0</v>
      </c>
      <c r="G387" s="3">
        <v>1302.0</v>
      </c>
      <c r="H387" s="3" t="str">
        <f>VLOOKUP(B387,'Currency Table'!$M$3:$N$6,2, FALSE)</f>
        <v>PLN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5.75" customHeight="1">
      <c r="A388" s="3" t="s">
        <v>112</v>
      </c>
      <c r="B388" s="3" t="s">
        <v>9</v>
      </c>
      <c r="C388" s="3" t="s">
        <v>14</v>
      </c>
      <c r="D388" s="4">
        <v>45684.0</v>
      </c>
      <c r="E388" s="3">
        <v>58.0</v>
      </c>
      <c r="F388" s="5">
        <v>0.0</v>
      </c>
      <c r="G388" s="3">
        <v>3481.0</v>
      </c>
      <c r="H388" s="3" t="str">
        <f>VLOOKUP(B388,'Currency Table'!$M$3:$N$6,2, FALSE)</f>
        <v>PLN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5.75" customHeight="1">
      <c r="A389" s="3" t="s">
        <v>83</v>
      </c>
      <c r="B389" s="3" t="s">
        <v>9</v>
      </c>
      <c r="C389" s="3" t="s">
        <v>12</v>
      </c>
      <c r="D389" s="4">
        <v>45684.0</v>
      </c>
      <c r="E389" s="3">
        <v>38.0</v>
      </c>
      <c r="F389" s="5">
        <v>3.0</v>
      </c>
      <c r="G389" s="3">
        <v>2734.0</v>
      </c>
      <c r="H389" s="3" t="str">
        <f>VLOOKUP(B389,'Currency Table'!$M$3:$N$6,2, FALSE)</f>
        <v>PLN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5.75" customHeight="1">
      <c r="A390" s="3" t="s">
        <v>114</v>
      </c>
      <c r="B390" s="3" t="s">
        <v>9</v>
      </c>
      <c r="C390" s="3" t="s">
        <v>14</v>
      </c>
      <c r="D390" s="4">
        <v>45684.0</v>
      </c>
      <c r="E390" s="3">
        <v>48.0</v>
      </c>
      <c r="F390" s="5">
        <v>0.0</v>
      </c>
      <c r="G390" s="3">
        <v>3525.0</v>
      </c>
      <c r="H390" s="3" t="str">
        <f>VLOOKUP(B390,'Currency Table'!$M$3:$N$6,2, FALSE)</f>
        <v>PLN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5.75" customHeight="1">
      <c r="A391" s="3" t="s">
        <v>79</v>
      </c>
      <c r="B391" s="3" t="s">
        <v>9</v>
      </c>
      <c r="C391" s="3" t="s">
        <v>16</v>
      </c>
      <c r="D391" s="4">
        <v>45684.0</v>
      </c>
      <c r="E391" s="3">
        <v>38.0</v>
      </c>
      <c r="F391" s="5">
        <v>2.0</v>
      </c>
      <c r="G391" s="3">
        <v>2254.0</v>
      </c>
      <c r="H391" s="3" t="str">
        <f>VLOOKUP(B391,'Currency Table'!$M$3:$N$6,2, FALSE)</f>
        <v>PLN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5.75" customHeight="1">
      <c r="A392" s="3" t="s">
        <v>84</v>
      </c>
      <c r="B392" s="3" t="s">
        <v>9</v>
      </c>
      <c r="C392" s="3" t="s">
        <v>16</v>
      </c>
      <c r="D392" s="4">
        <v>45684.0</v>
      </c>
      <c r="E392" s="3">
        <v>38.0</v>
      </c>
      <c r="F392" s="5">
        <v>1.0</v>
      </c>
      <c r="G392" s="3">
        <v>2235.0</v>
      </c>
      <c r="H392" s="3" t="str">
        <f>VLOOKUP(B392,'Currency Table'!$M$3:$N$6,2, FALSE)</f>
        <v>PLN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5.75" customHeight="1">
      <c r="A393" s="3" t="s">
        <v>125</v>
      </c>
      <c r="B393" s="3" t="s">
        <v>9</v>
      </c>
      <c r="C393" s="3" t="s">
        <v>23</v>
      </c>
      <c r="D393" s="4">
        <v>45684.0</v>
      </c>
      <c r="E393" s="3">
        <v>35.0</v>
      </c>
      <c r="F393" s="5">
        <v>3.0</v>
      </c>
      <c r="G393" s="3">
        <v>2347.0</v>
      </c>
      <c r="H393" s="3" t="str">
        <f>VLOOKUP(B393,'Currency Table'!$M$3:$N$6,2, FALSE)</f>
        <v>PLN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5.75" customHeight="1">
      <c r="A394" s="3" t="s">
        <v>113</v>
      </c>
      <c r="B394" s="3" t="s">
        <v>9</v>
      </c>
      <c r="C394" s="3" t="s">
        <v>10</v>
      </c>
      <c r="D394" s="4">
        <v>45684.0</v>
      </c>
      <c r="E394" s="3">
        <v>65.0</v>
      </c>
      <c r="F394" s="5">
        <v>0.0</v>
      </c>
      <c r="G394" s="3">
        <v>4034.0</v>
      </c>
      <c r="H394" s="3" t="str">
        <f>VLOOKUP(B394,'Currency Table'!$M$3:$N$6,2, FALSE)</f>
        <v>PLN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5.75" customHeight="1">
      <c r="A395" s="3" t="s">
        <v>124</v>
      </c>
      <c r="B395" s="3" t="s">
        <v>9</v>
      </c>
      <c r="C395" s="3" t="s">
        <v>14</v>
      </c>
      <c r="D395" s="4">
        <v>45684.0</v>
      </c>
      <c r="E395" s="3">
        <v>52.0</v>
      </c>
      <c r="F395" s="5">
        <v>2.0</v>
      </c>
      <c r="G395" s="3">
        <v>3704.0</v>
      </c>
      <c r="H395" s="3" t="str">
        <f>VLOOKUP(B395,'Currency Table'!$M$3:$N$6,2, FALSE)</f>
        <v>PLN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5.75" customHeight="1">
      <c r="A396" s="3" t="s">
        <v>117</v>
      </c>
      <c r="B396" s="3" t="s">
        <v>9</v>
      </c>
      <c r="C396" s="3" t="s">
        <v>10</v>
      </c>
      <c r="D396" s="4">
        <v>45684.0</v>
      </c>
      <c r="E396" s="3">
        <v>33.0</v>
      </c>
      <c r="F396" s="5">
        <v>4.0</v>
      </c>
      <c r="G396" s="3">
        <v>2453.0</v>
      </c>
      <c r="H396" s="3" t="str">
        <f>VLOOKUP(B396,'Currency Table'!$M$3:$N$6,2, FALSE)</f>
        <v>PLN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5.75" customHeight="1">
      <c r="A397" s="3" t="s">
        <v>126</v>
      </c>
      <c r="B397" s="3" t="s">
        <v>9</v>
      </c>
      <c r="C397" s="3" t="s">
        <v>23</v>
      </c>
      <c r="D397" s="4">
        <v>45684.0</v>
      </c>
      <c r="E397" s="3">
        <v>38.0</v>
      </c>
      <c r="F397" s="5">
        <v>1.0</v>
      </c>
      <c r="G397" s="3">
        <v>2015.0</v>
      </c>
      <c r="H397" s="3" t="str">
        <f>VLOOKUP(B397,'Currency Table'!$M$3:$N$6,2, FALSE)</f>
        <v>PLN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5.75" customHeight="1">
      <c r="A398" s="3" t="s">
        <v>85</v>
      </c>
      <c r="B398" s="3" t="s">
        <v>9</v>
      </c>
      <c r="C398" s="3" t="s">
        <v>12</v>
      </c>
      <c r="D398" s="4">
        <v>45684.0</v>
      </c>
      <c r="E398" s="3">
        <v>10.0</v>
      </c>
      <c r="F398" s="5">
        <v>4.0</v>
      </c>
      <c r="G398" s="3">
        <v>880.0</v>
      </c>
      <c r="H398" s="3" t="str">
        <f>VLOOKUP(B398,'Currency Table'!$M$3:$N$6,2, FALSE)</f>
        <v>PLN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5.75" customHeight="1">
      <c r="A399" s="3" t="s">
        <v>118</v>
      </c>
      <c r="B399" s="3" t="s">
        <v>9</v>
      </c>
      <c r="C399" s="3" t="s">
        <v>10</v>
      </c>
      <c r="D399" s="4">
        <v>45684.0</v>
      </c>
      <c r="E399" s="3">
        <v>60.0</v>
      </c>
      <c r="F399" s="5">
        <v>4.0</v>
      </c>
      <c r="G399" s="3">
        <v>3364.0</v>
      </c>
      <c r="H399" s="3" t="str">
        <f>VLOOKUP(B399,'Currency Table'!$M$3:$N$6,2, FALSE)</f>
        <v>PLN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5.75" customHeight="1">
      <c r="A400" s="3" t="s">
        <v>89</v>
      </c>
      <c r="B400" s="3" t="s">
        <v>9</v>
      </c>
      <c r="C400" s="3" t="s">
        <v>12</v>
      </c>
      <c r="D400" s="4">
        <v>45684.0</v>
      </c>
      <c r="E400" s="3">
        <v>35.0</v>
      </c>
      <c r="F400" s="5">
        <v>3.0</v>
      </c>
      <c r="G400" s="3">
        <v>2744.0</v>
      </c>
      <c r="H400" s="3" t="str">
        <f>VLOOKUP(B400,'Currency Table'!$M$3:$N$6,2, FALSE)</f>
        <v>PLN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5.75" customHeight="1">
      <c r="A401" s="3" t="s">
        <v>91</v>
      </c>
      <c r="B401" s="3" t="s">
        <v>9</v>
      </c>
      <c r="C401" s="3" t="s">
        <v>16</v>
      </c>
      <c r="D401" s="4">
        <v>45684.0</v>
      </c>
      <c r="E401" s="3">
        <v>55.0</v>
      </c>
      <c r="F401" s="5">
        <v>3.0</v>
      </c>
      <c r="G401" s="3">
        <v>3351.0</v>
      </c>
      <c r="H401" s="3" t="str">
        <f>VLOOKUP(B401,'Currency Table'!$M$3:$N$6,2, FALSE)</f>
        <v>PLN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5.75" customHeight="1">
      <c r="A402" s="3" t="s">
        <v>122</v>
      </c>
      <c r="B402" s="3" t="s">
        <v>9</v>
      </c>
      <c r="C402" s="3" t="s">
        <v>10</v>
      </c>
      <c r="D402" s="4">
        <v>45684.0</v>
      </c>
      <c r="E402" s="3">
        <v>37.0</v>
      </c>
      <c r="F402" s="5">
        <v>1.0</v>
      </c>
      <c r="G402" s="3">
        <v>2925.0</v>
      </c>
      <c r="H402" s="3" t="str">
        <f>VLOOKUP(B402,'Currency Table'!$M$3:$N$6,2, FALSE)</f>
        <v>PLN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5.75" customHeight="1">
      <c r="A403" s="3" t="s">
        <v>109</v>
      </c>
      <c r="B403" s="3" t="s">
        <v>9</v>
      </c>
      <c r="C403" s="3" t="s">
        <v>16</v>
      </c>
      <c r="D403" s="4">
        <v>45684.0</v>
      </c>
      <c r="E403" s="3">
        <v>40.0</v>
      </c>
      <c r="F403" s="5">
        <v>4.0</v>
      </c>
      <c r="G403" s="3">
        <v>2795.0</v>
      </c>
      <c r="H403" s="3" t="str">
        <f>VLOOKUP(B403,'Currency Table'!$M$3:$N$6,2, FALSE)</f>
        <v>PLN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5.75" customHeight="1">
      <c r="A404" s="3" t="s">
        <v>120</v>
      </c>
      <c r="B404" s="3" t="s">
        <v>9</v>
      </c>
      <c r="C404" s="3" t="s">
        <v>16</v>
      </c>
      <c r="D404" s="4">
        <v>45684.0</v>
      </c>
      <c r="E404" s="3">
        <v>15.0</v>
      </c>
      <c r="F404" s="5">
        <v>4.0</v>
      </c>
      <c r="G404" s="3">
        <v>704.0</v>
      </c>
      <c r="H404" s="3" t="str">
        <f>VLOOKUP(B404,'Currency Table'!$M$3:$N$6,2, FALSE)</f>
        <v>PLN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5.75" customHeight="1">
      <c r="A405" s="3" t="s">
        <v>90</v>
      </c>
      <c r="B405" s="3" t="s">
        <v>9</v>
      </c>
      <c r="C405" s="3" t="s">
        <v>12</v>
      </c>
      <c r="D405" s="4">
        <v>45684.0</v>
      </c>
      <c r="E405" s="3">
        <v>56.0</v>
      </c>
      <c r="F405" s="5">
        <v>5.0</v>
      </c>
      <c r="G405" s="3">
        <v>3740.0</v>
      </c>
      <c r="H405" s="3" t="str">
        <f>VLOOKUP(B405,'Currency Table'!$M$3:$N$6,2, FALSE)</f>
        <v>PLN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5.75" customHeight="1">
      <c r="A406" s="3" t="s">
        <v>92</v>
      </c>
      <c r="B406" s="3" t="s">
        <v>9</v>
      </c>
      <c r="C406" s="3" t="s">
        <v>12</v>
      </c>
      <c r="D406" s="4">
        <v>45684.0</v>
      </c>
      <c r="E406" s="3">
        <v>34.0</v>
      </c>
      <c r="F406" s="5">
        <v>3.0</v>
      </c>
      <c r="G406" s="3">
        <v>2861.0</v>
      </c>
      <c r="H406" s="3" t="str">
        <f>VLOOKUP(B406,'Currency Table'!$M$3:$N$6,2, FALSE)</f>
        <v>PLN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5.75" customHeight="1">
      <c r="A407" s="3" t="s">
        <v>95</v>
      </c>
      <c r="B407" s="3" t="s">
        <v>9</v>
      </c>
      <c r="C407" s="3" t="s">
        <v>12</v>
      </c>
      <c r="D407" s="4">
        <v>45684.0</v>
      </c>
      <c r="E407" s="3">
        <v>29.0</v>
      </c>
      <c r="F407" s="5">
        <v>0.0</v>
      </c>
      <c r="G407" s="3">
        <v>1095.0</v>
      </c>
      <c r="H407" s="3" t="str">
        <f>VLOOKUP(B407,'Currency Table'!$M$3:$N$6,2, FALSE)</f>
        <v>PLN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5.75" customHeight="1">
      <c r="A408" s="3" t="s">
        <v>123</v>
      </c>
      <c r="B408" s="3" t="s">
        <v>9</v>
      </c>
      <c r="C408" s="3" t="s">
        <v>10</v>
      </c>
      <c r="D408" s="4">
        <v>45684.0</v>
      </c>
      <c r="E408" s="3">
        <v>36.0</v>
      </c>
      <c r="F408" s="5">
        <v>0.0</v>
      </c>
      <c r="G408" s="3">
        <v>2775.0</v>
      </c>
      <c r="H408" s="3" t="str">
        <f>VLOOKUP(B408,'Currency Table'!$M$3:$N$6,2, FALSE)</f>
        <v>PLN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5.75" hidden="1" customHeight="1">
      <c r="A409" s="3" t="s">
        <v>127</v>
      </c>
      <c r="B409" s="3" t="s">
        <v>128</v>
      </c>
      <c r="C409" s="3" t="s">
        <v>129</v>
      </c>
      <c r="D409" s="4">
        <v>45663.0</v>
      </c>
      <c r="E409" s="3">
        <v>67.0</v>
      </c>
      <c r="F409" s="5">
        <v>3.0</v>
      </c>
      <c r="G409" s="3">
        <v>986.0</v>
      </c>
      <c r="H409" s="3" t="str">
        <f>VLOOKUP(B409,'Currency Table'!$M$3:$N$6,2, FALSE)</f>
        <v>GBP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5.75" hidden="1" customHeight="1">
      <c r="A410" s="3" t="s">
        <v>130</v>
      </c>
      <c r="B410" s="3" t="s">
        <v>128</v>
      </c>
      <c r="C410" s="3" t="s">
        <v>131</v>
      </c>
      <c r="D410" s="4">
        <v>45663.0</v>
      </c>
      <c r="E410" s="3">
        <v>65.0</v>
      </c>
      <c r="F410" s="5">
        <v>3.0</v>
      </c>
      <c r="G410" s="3">
        <v>919.0</v>
      </c>
      <c r="H410" s="3" t="str">
        <f>VLOOKUP(B410,'Currency Table'!$M$3:$N$6,2, FALSE)</f>
        <v>GBP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5.75" hidden="1" customHeight="1">
      <c r="A411" s="3" t="s">
        <v>132</v>
      </c>
      <c r="B411" s="3" t="s">
        <v>128</v>
      </c>
      <c r="C411" s="3" t="s">
        <v>133</v>
      </c>
      <c r="D411" s="4">
        <v>45663.0</v>
      </c>
      <c r="E411" s="3">
        <v>58.0</v>
      </c>
      <c r="F411" s="5">
        <v>2.0</v>
      </c>
      <c r="G411" s="3">
        <v>850.0</v>
      </c>
      <c r="H411" s="3" t="str">
        <f>VLOOKUP(B411,'Currency Table'!$M$3:$N$6,2, FALSE)</f>
        <v>GBP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5.75" hidden="1" customHeight="1">
      <c r="A412" s="3" t="s">
        <v>134</v>
      </c>
      <c r="B412" s="3" t="s">
        <v>128</v>
      </c>
      <c r="C412" s="3" t="s">
        <v>135</v>
      </c>
      <c r="D412" s="4">
        <v>45663.0</v>
      </c>
      <c r="E412" s="3">
        <v>19.0</v>
      </c>
      <c r="F412" s="5">
        <v>3.0</v>
      </c>
      <c r="G412" s="3">
        <v>333.0</v>
      </c>
      <c r="H412" s="3" t="str">
        <f>VLOOKUP(B412,'Currency Table'!$M$3:$N$6,2, FALSE)</f>
        <v>GBP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5.75" hidden="1" customHeight="1">
      <c r="A413" s="3" t="s">
        <v>136</v>
      </c>
      <c r="B413" s="3" t="s">
        <v>128</v>
      </c>
      <c r="C413" s="3" t="s">
        <v>137</v>
      </c>
      <c r="D413" s="4">
        <v>45663.0</v>
      </c>
      <c r="E413" s="3">
        <v>27.0</v>
      </c>
      <c r="F413" s="5">
        <v>1.0</v>
      </c>
      <c r="G413" s="3">
        <v>471.0</v>
      </c>
      <c r="H413" s="3" t="str">
        <f>VLOOKUP(B413,'Currency Table'!$M$3:$N$6,2, FALSE)</f>
        <v>GBP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5.75" hidden="1" customHeight="1">
      <c r="A414" s="3" t="s">
        <v>138</v>
      </c>
      <c r="B414" s="3" t="s">
        <v>128</v>
      </c>
      <c r="C414" s="3" t="s">
        <v>135</v>
      </c>
      <c r="D414" s="4">
        <v>45663.0</v>
      </c>
      <c r="E414" s="3">
        <v>39.0</v>
      </c>
      <c r="F414" s="5">
        <v>4.0</v>
      </c>
      <c r="G414" s="3">
        <v>631.0</v>
      </c>
      <c r="H414" s="3" t="str">
        <f>VLOOKUP(B414,'Currency Table'!$M$3:$N$6,2, FALSE)</f>
        <v>GBP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5.75" hidden="1" customHeight="1">
      <c r="A415" s="3" t="s">
        <v>139</v>
      </c>
      <c r="B415" s="3" t="s">
        <v>128</v>
      </c>
      <c r="C415" s="3" t="s">
        <v>135</v>
      </c>
      <c r="D415" s="4">
        <v>45663.0</v>
      </c>
      <c r="E415" s="3">
        <v>26.0</v>
      </c>
      <c r="F415" s="5">
        <v>3.0</v>
      </c>
      <c r="G415" s="3">
        <v>381.0</v>
      </c>
      <c r="H415" s="3" t="str">
        <f>VLOOKUP(B415,'Currency Table'!$M$3:$N$6,2, FALSE)</f>
        <v>GBP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5.75" hidden="1" customHeight="1">
      <c r="A416" s="3" t="s">
        <v>140</v>
      </c>
      <c r="B416" s="3" t="s">
        <v>128</v>
      </c>
      <c r="C416" s="3" t="s">
        <v>137</v>
      </c>
      <c r="D416" s="4">
        <v>45663.0</v>
      </c>
      <c r="E416" s="3">
        <v>64.0</v>
      </c>
      <c r="F416" s="5">
        <v>1.0</v>
      </c>
      <c r="G416" s="3">
        <v>1030.0</v>
      </c>
      <c r="H416" s="3" t="str">
        <f>VLOOKUP(B416,'Currency Table'!$M$3:$N$6,2, FALSE)</f>
        <v>GBP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5.75" hidden="1" customHeight="1">
      <c r="A417" s="3" t="s">
        <v>141</v>
      </c>
      <c r="B417" s="3" t="s">
        <v>128</v>
      </c>
      <c r="C417" s="3" t="s">
        <v>129</v>
      </c>
      <c r="D417" s="4">
        <v>45663.0</v>
      </c>
      <c r="E417" s="3">
        <v>15.0</v>
      </c>
      <c r="F417" s="5">
        <v>1.0</v>
      </c>
      <c r="G417" s="3">
        <v>180.0</v>
      </c>
      <c r="H417" s="3" t="str">
        <f>VLOOKUP(B417,'Currency Table'!$M$3:$N$6,2, FALSE)</f>
        <v>GBP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5.75" hidden="1" customHeight="1">
      <c r="A418" s="3" t="s">
        <v>142</v>
      </c>
      <c r="B418" s="3" t="s">
        <v>128</v>
      </c>
      <c r="C418" s="3" t="s">
        <v>131</v>
      </c>
      <c r="D418" s="4">
        <v>45663.0</v>
      </c>
      <c r="E418" s="3">
        <v>11.0</v>
      </c>
      <c r="F418" s="5">
        <v>1.0</v>
      </c>
      <c r="G418" s="3">
        <v>167.0</v>
      </c>
      <c r="H418" s="3" t="str">
        <f>VLOOKUP(B418,'Currency Table'!$M$3:$N$6,2, FALSE)</f>
        <v>GBP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5.75" hidden="1" customHeight="1">
      <c r="A419" s="3" t="s">
        <v>143</v>
      </c>
      <c r="B419" s="3" t="s">
        <v>128</v>
      </c>
      <c r="C419" s="3" t="s">
        <v>129</v>
      </c>
      <c r="D419" s="4">
        <v>45663.0</v>
      </c>
      <c r="E419" s="3">
        <v>15.0</v>
      </c>
      <c r="F419" s="5">
        <v>3.0</v>
      </c>
      <c r="G419" s="3">
        <v>219.0</v>
      </c>
      <c r="H419" s="3" t="str">
        <f>VLOOKUP(B419,'Currency Table'!$M$3:$N$6,2, FALSE)</f>
        <v>GBP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5.75" hidden="1" customHeight="1">
      <c r="A420" s="3" t="s">
        <v>144</v>
      </c>
      <c r="B420" s="3" t="s">
        <v>128</v>
      </c>
      <c r="C420" s="3" t="s">
        <v>145</v>
      </c>
      <c r="D420" s="4">
        <v>45663.0</v>
      </c>
      <c r="E420" s="3">
        <v>34.0</v>
      </c>
      <c r="F420" s="5">
        <v>1.0</v>
      </c>
      <c r="G420" s="3">
        <v>658.0</v>
      </c>
      <c r="H420" s="3" t="str">
        <f>VLOOKUP(B420,'Currency Table'!$M$3:$N$6,2, FALSE)</f>
        <v>GBP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5.75" hidden="1" customHeight="1">
      <c r="A421" s="3" t="s">
        <v>146</v>
      </c>
      <c r="B421" s="3" t="s">
        <v>128</v>
      </c>
      <c r="C421" s="3" t="s">
        <v>137</v>
      </c>
      <c r="D421" s="4">
        <v>45663.0</v>
      </c>
      <c r="E421" s="3">
        <v>56.0</v>
      </c>
      <c r="F421" s="5">
        <v>3.0</v>
      </c>
      <c r="G421" s="3">
        <v>853.0</v>
      </c>
      <c r="H421" s="3" t="str">
        <f>VLOOKUP(B421,'Currency Table'!$M$3:$N$6,2, FALSE)</f>
        <v>GBP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5.75" hidden="1" customHeight="1">
      <c r="A422" s="3" t="s">
        <v>147</v>
      </c>
      <c r="B422" s="3" t="s">
        <v>128</v>
      </c>
      <c r="C422" s="3" t="s">
        <v>131</v>
      </c>
      <c r="D422" s="4">
        <v>45663.0</v>
      </c>
      <c r="E422" s="3">
        <v>18.0</v>
      </c>
      <c r="F422" s="5">
        <v>5.0</v>
      </c>
      <c r="G422" s="3">
        <v>401.0</v>
      </c>
      <c r="H422" s="3" t="str">
        <f>VLOOKUP(B422,'Currency Table'!$M$3:$N$6,2, FALSE)</f>
        <v>GBP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5.75" hidden="1" customHeight="1">
      <c r="A423" s="3" t="s">
        <v>148</v>
      </c>
      <c r="B423" s="3" t="s">
        <v>128</v>
      </c>
      <c r="C423" s="3" t="s">
        <v>137</v>
      </c>
      <c r="D423" s="4">
        <v>45663.0</v>
      </c>
      <c r="E423" s="3">
        <v>63.0</v>
      </c>
      <c r="F423" s="5">
        <v>5.0</v>
      </c>
      <c r="G423" s="3">
        <v>952.0</v>
      </c>
      <c r="H423" s="3" t="str">
        <f>VLOOKUP(B423,'Currency Table'!$M$3:$N$6,2, FALSE)</f>
        <v>GBP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5.75" hidden="1" customHeight="1">
      <c r="A424" s="3" t="s">
        <v>149</v>
      </c>
      <c r="B424" s="3" t="s">
        <v>128</v>
      </c>
      <c r="C424" s="3" t="s">
        <v>135</v>
      </c>
      <c r="D424" s="4">
        <v>45663.0</v>
      </c>
      <c r="E424" s="3">
        <v>28.0</v>
      </c>
      <c r="F424" s="5">
        <v>1.0</v>
      </c>
      <c r="G424" s="3">
        <v>500.0</v>
      </c>
      <c r="H424" s="3" t="str">
        <f>VLOOKUP(B424,'Currency Table'!$M$3:$N$6,2, FALSE)</f>
        <v>GBP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5.75" hidden="1" customHeight="1">
      <c r="A425" s="3" t="s">
        <v>150</v>
      </c>
      <c r="B425" s="3" t="s">
        <v>128</v>
      </c>
      <c r="C425" s="3" t="s">
        <v>137</v>
      </c>
      <c r="D425" s="4">
        <v>45663.0</v>
      </c>
      <c r="E425" s="3">
        <v>10.0</v>
      </c>
      <c r="F425" s="5">
        <v>3.0</v>
      </c>
      <c r="G425" s="3">
        <v>190.0</v>
      </c>
      <c r="H425" s="3" t="str">
        <f>VLOOKUP(B425,'Currency Table'!$M$3:$N$6,2, FALSE)</f>
        <v>GBP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5.75" hidden="1" customHeight="1">
      <c r="A426" s="3" t="s">
        <v>151</v>
      </c>
      <c r="B426" s="3" t="s">
        <v>128</v>
      </c>
      <c r="C426" s="3" t="s">
        <v>145</v>
      </c>
      <c r="D426" s="4">
        <v>45663.0</v>
      </c>
      <c r="E426" s="3">
        <v>41.0</v>
      </c>
      <c r="F426" s="5">
        <v>1.0</v>
      </c>
      <c r="G426" s="3">
        <v>595.0</v>
      </c>
      <c r="H426" s="3" t="str">
        <f>VLOOKUP(B426,'Currency Table'!$M$3:$N$6,2, FALSE)</f>
        <v>GBP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5.75" hidden="1" customHeight="1">
      <c r="A427" s="3" t="s">
        <v>152</v>
      </c>
      <c r="B427" s="3" t="s">
        <v>128</v>
      </c>
      <c r="C427" s="3" t="s">
        <v>131</v>
      </c>
      <c r="D427" s="4">
        <v>45663.0</v>
      </c>
      <c r="E427" s="3">
        <v>59.0</v>
      </c>
      <c r="F427" s="5">
        <v>5.0</v>
      </c>
      <c r="G427" s="3">
        <v>765.0</v>
      </c>
      <c r="H427" s="3" t="str">
        <f>VLOOKUP(B427,'Currency Table'!$M$3:$N$6,2, FALSE)</f>
        <v>GBP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5.75" hidden="1" customHeight="1">
      <c r="A428" s="3" t="s">
        <v>153</v>
      </c>
      <c r="B428" s="3" t="s">
        <v>128</v>
      </c>
      <c r="C428" s="3" t="s">
        <v>137</v>
      </c>
      <c r="D428" s="4">
        <v>45663.0</v>
      </c>
      <c r="E428" s="3">
        <v>32.0</v>
      </c>
      <c r="F428" s="5">
        <v>5.0</v>
      </c>
      <c r="G428" s="3">
        <v>573.0</v>
      </c>
      <c r="H428" s="3" t="str">
        <f>VLOOKUP(B428,'Currency Table'!$M$3:$N$6,2, FALSE)</f>
        <v>GBP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5.75" hidden="1" customHeight="1">
      <c r="A429" s="3" t="s">
        <v>154</v>
      </c>
      <c r="B429" s="3" t="s">
        <v>128</v>
      </c>
      <c r="C429" s="3" t="s">
        <v>131</v>
      </c>
      <c r="D429" s="4">
        <v>45663.0</v>
      </c>
      <c r="E429" s="3">
        <v>24.0</v>
      </c>
      <c r="F429" s="5">
        <v>4.0</v>
      </c>
      <c r="G429" s="3">
        <v>268.0</v>
      </c>
      <c r="H429" s="3" t="str">
        <f>VLOOKUP(B429,'Currency Table'!$M$3:$N$6,2, FALSE)</f>
        <v>GBP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5.75" hidden="1" customHeight="1">
      <c r="A430" s="3" t="s">
        <v>155</v>
      </c>
      <c r="B430" s="3" t="s">
        <v>128</v>
      </c>
      <c r="C430" s="3" t="s">
        <v>135</v>
      </c>
      <c r="D430" s="4">
        <v>45663.0</v>
      </c>
      <c r="E430" s="3">
        <v>34.0</v>
      </c>
      <c r="F430" s="5">
        <v>5.0</v>
      </c>
      <c r="G430" s="3">
        <v>640.0</v>
      </c>
      <c r="H430" s="3" t="str">
        <f>VLOOKUP(B430,'Currency Table'!$M$3:$N$6,2, FALSE)</f>
        <v>GBP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5.75" hidden="1" customHeight="1">
      <c r="A431" s="3" t="s">
        <v>156</v>
      </c>
      <c r="B431" s="3" t="s">
        <v>128</v>
      </c>
      <c r="C431" s="3" t="s">
        <v>133</v>
      </c>
      <c r="D431" s="4">
        <v>45663.0</v>
      </c>
      <c r="E431" s="3">
        <v>27.0</v>
      </c>
      <c r="F431" s="5">
        <v>4.0</v>
      </c>
      <c r="G431" s="3">
        <v>276.0</v>
      </c>
      <c r="H431" s="3" t="str">
        <f>VLOOKUP(B431,'Currency Table'!$M$3:$N$6,2, FALSE)</f>
        <v>GBP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5.75" hidden="1" customHeight="1">
      <c r="A432" s="3" t="s">
        <v>157</v>
      </c>
      <c r="B432" s="3" t="s">
        <v>128</v>
      </c>
      <c r="C432" s="3" t="s">
        <v>137</v>
      </c>
      <c r="D432" s="4">
        <v>45663.0</v>
      </c>
      <c r="E432" s="3">
        <v>55.0</v>
      </c>
      <c r="F432" s="5">
        <v>2.0</v>
      </c>
      <c r="G432" s="3">
        <v>791.0</v>
      </c>
      <c r="H432" s="3" t="str">
        <f>VLOOKUP(B432,'Currency Table'!$M$3:$N$6,2, FALSE)</f>
        <v>GBP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5.75" hidden="1" customHeight="1">
      <c r="A433" s="3" t="s">
        <v>158</v>
      </c>
      <c r="B433" s="3" t="s">
        <v>128</v>
      </c>
      <c r="C433" s="3" t="s">
        <v>145</v>
      </c>
      <c r="D433" s="4">
        <v>45663.0</v>
      </c>
      <c r="E433" s="3">
        <v>47.0</v>
      </c>
      <c r="F433" s="5">
        <v>1.0</v>
      </c>
      <c r="G433" s="3">
        <v>732.0</v>
      </c>
      <c r="H433" s="3" t="str">
        <f>VLOOKUP(B433,'Currency Table'!$M$3:$N$6,2, FALSE)</f>
        <v>GBP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5.75" hidden="1" customHeight="1">
      <c r="A434" s="3" t="s">
        <v>159</v>
      </c>
      <c r="B434" s="3" t="s">
        <v>128</v>
      </c>
      <c r="C434" s="3" t="s">
        <v>145</v>
      </c>
      <c r="D434" s="4">
        <v>45663.0</v>
      </c>
      <c r="E434" s="3">
        <v>17.0</v>
      </c>
      <c r="F434" s="5">
        <v>2.0</v>
      </c>
      <c r="G434" s="3">
        <v>303.0</v>
      </c>
      <c r="H434" s="3" t="str">
        <f>VLOOKUP(B434,'Currency Table'!$M$3:$N$6,2, FALSE)</f>
        <v>GBP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5.75" hidden="1" customHeight="1">
      <c r="A435" s="3" t="s">
        <v>160</v>
      </c>
      <c r="B435" s="3" t="s">
        <v>128</v>
      </c>
      <c r="C435" s="3" t="s">
        <v>131</v>
      </c>
      <c r="D435" s="4">
        <v>45663.0</v>
      </c>
      <c r="E435" s="3">
        <v>27.0</v>
      </c>
      <c r="F435" s="5">
        <v>6.0</v>
      </c>
      <c r="G435" s="3">
        <v>308.0</v>
      </c>
      <c r="H435" s="3" t="str">
        <f>VLOOKUP(B435,'Currency Table'!$M$3:$N$6,2, FALSE)</f>
        <v>GBP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5.75" hidden="1" customHeight="1">
      <c r="A436" s="3" t="s">
        <v>161</v>
      </c>
      <c r="B436" s="3" t="s">
        <v>128</v>
      </c>
      <c r="C436" s="3" t="s">
        <v>131</v>
      </c>
      <c r="D436" s="4">
        <v>45663.0</v>
      </c>
      <c r="E436" s="3">
        <v>13.0</v>
      </c>
      <c r="F436" s="5">
        <v>4.0</v>
      </c>
      <c r="G436" s="3">
        <v>182.0</v>
      </c>
      <c r="H436" s="3" t="str">
        <f>VLOOKUP(B436,'Currency Table'!$M$3:$N$6,2, FALSE)</f>
        <v>GBP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5.75" hidden="1" customHeight="1">
      <c r="A437" s="3" t="s">
        <v>162</v>
      </c>
      <c r="B437" s="3" t="s">
        <v>128</v>
      </c>
      <c r="C437" s="3" t="s">
        <v>131</v>
      </c>
      <c r="D437" s="4">
        <v>45663.0</v>
      </c>
      <c r="E437" s="3">
        <v>67.0</v>
      </c>
      <c r="F437" s="5">
        <v>1.0</v>
      </c>
      <c r="G437" s="3">
        <v>953.0</v>
      </c>
      <c r="H437" s="3" t="str">
        <f>VLOOKUP(B437,'Currency Table'!$M$3:$N$6,2, FALSE)</f>
        <v>GBP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5.75" hidden="1" customHeight="1">
      <c r="A438" s="3" t="s">
        <v>163</v>
      </c>
      <c r="B438" s="3" t="s">
        <v>128</v>
      </c>
      <c r="C438" s="3" t="s">
        <v>129</v>
      </c>
      <c r="D438" s="4">
        <v>45663.0</v>
      </c>
      <c r="E438" s="3">
        <v>16.0</v>
      </c>
      <c r="F438" s="5">
        <v>0.0</v>
      </c>
      <c r="G438" s="3">
        <v>441.0</v>
      </c>
      <c r="H438" s="3" t="str">
        <f>VLOOKUP(B438,'Currency Table'!$M$3:$N$6,2, FALSE)</f>
        <v>GBP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5.75" hidden="1" customHeight="1">
      <c r="A439" s="3" t="s">
        <v>164</v>
      </c>
      <c r="B439" s="3" t="s">
        <v>128</v>
      </c>
      <c r="C439" s="3" t="s">
        <v>129</v>
      </c>
      <c r="D439" s="4">
        <v>45663.0</v>
      </c>
      <c r="E439" s="3">
        <v>41.0</v>
      </c>
      <c r="F439" s="5">
        <v>1.0</v>
      </c>
      <c r="G439" s="3">
        <v>531.0</v>
      </c>
      <c r="H439" s="3" t="str">
        <f>VLOOKUP(B439,'Currency Table'!$M$3:$N$6,2, FALSE)</f>
        <v>GBP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5.75" hidden="1" customHeight="1">
      <c r="A440" s="3" t="s">
        <v>165</v>
      </c>
      <c r="B440" s="3" t="s">
        <v>128</v>
      </c>
      <c r="C440" s="3" t="s">
        <v>137</v>
      </c>
      <c r="D440" s="4">
        <v>45663.0</v>
      </c>
      <c r="E440" s="3">
        <v>57.0</v>
      </c>
      <c r="F440" s="5">
        <v>4.0</v>
      </c>
      <c r="G440" s="3">
        <v>849.0</v>
      </c>
      <c r="H440" s="3" t="str">
        <f>VLOOKUP(B440,'Currency Table'!$M$3:$N$6,2, FALSE)</f>
        <v>GBP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5.75" hidden="1" customHeight="1">
      <c r="A441" s="3" t="s">
        <v>166</v>
      </c>
      <c r="B441" s="3" t="s">
        <v>128</v>
      </c>
      <c r="C441" s="3" t="s">
        <v>133</v>
      </c>
      <c r="D441" s="4">
        <v>45663.0</v>
      </c>
      <c r="E441" s="3">
        <v>52.0</v>
      </c>
      <c r="F441" s="5">
        <v>1.0</v>
      </c>
      <c r="G441" s="3">
        <v>761.0</v>
      </c>
      <c r="H441" s="3" t="str">
        <f>VLOOKUP(B441,'Currency Table'!$M$3:$N$6,2, FALSE)</f>
        <v>GBP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5.75" hidden="1" customHeight="1">
      <c r="A442" s="3" t="s">
        <v>167</v>
      </c>
      <c r="B442" s="3" t="s">
        <v>128</v>
      </c>
      <c r="C442" s="3" t="s">
        <v>135</v>
      </c>
      <c r="D442" s="4">
        <v>45663.0</v>
      </c>
      <c r="E442" s="3">
        <v>34.0</v>
      </c>
      <c r="F442" s="5">
        <v>1.0</v>
      </c>
      <c r="G442" s="3">
        <v>581.0</v>
      </c>
      <c r="H442" s="3" t="str">
        <f>VLOOKUP(B442,'Currency Table'!$M$3:$N$6,2, FALSE)</f>
        <v>GBP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5.75" hidden="1" customHeight="1">
      <c r="A443" s="3" t="s">
        <v>168</v>
      </c>
      <c r="B443" s="3" t="s">
        <v>128</v>
      </c>
      <c r="C443" s="3" t="s">
        <v>135</v>
      </c>
      <c r="D443" s="4">
        <v>45663.0</v>
      </c>
      <c r="E443" s="3">
        <v>69.0</v>
      </c>
      <c r="F443" s="5">
        <v>3.0</v>
      </c>
      <c r="G443" s="3">
        <v>989.0</v>
      </c>
      <c r="H443" s="3" t="str">
        <f>VLOOKUP(B443,'Currency Table'!$M$3:$N$6,2, FALSE)</f>
        <v>GBP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5.75" hidden="1" customHeight="1">
      <c r="A444" s="3" t="s">
        <v>169</v>
      </c>
      <c r="B444" s="3" t="s">
        <v>128</v>
      </c>
      <c r="C444" s="3" t="s">
        <v>129</v>
      </c>
      <c r="D444" s="4">
        <v>45663.0</v>
      </c>
      <c r="E444" s="3">
        <v>46.0</v>
      </c>
      <c r="F444" s="5">
        <v>0.0</v>
      </c>
      <c r="G444" s="3">
        <v>859.0</v>
      </c>
      <c r="H444" s="3" t="str">
        <f>VLOOKUP(B444,'Currency Table'!$M$3:$N$6,2, FALSE)</f>
        <v>GBP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5.75" hidden="1" customHeight="1">
      <c r="A445" s="3" t="s">
        <v>170</v>
      </c>
      <c r="B445" s="3" t="s">
        <v>128</v>
      </c>
      <c r="C445" s="3" t="s">
        <v>145</v>
      </c>
      <c r="D445" s="4">
        <v>45663.0</v>
      </c>
      <c r="E445" s="3">
        <v>29.0</v>
      </c>
      <c r="F445" s="5">
        <v>2.0</v>
      </c>
      <c r="G445" s="3">
        <v>430.0</v>
      </c>
      <c r="H445" s="3" t="str">
        <f>VLOOKUP(B445,'Currency Table'!$M$3:$N$6,2, FALSE)</f>
        <v>GBP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5.75" hidden="1" customHeight="1">
      <c r="A446" s="3" t="s">
        <v>171</v>
      </c>
      <c r="B446" s="3" t="s">
        <v>128</v>
      </c>
      <c r="C446" s="3" t="s">
        <v>137</v>
      </c>
      <c r="D446" s="4">
        <v>45663.0</v>
      </c>
      <c r="E446" s="3">
        <v>27.0</v>
      </c>
      <c r="F446" s="5">
        <v>2.0</v>
      </c>
      <c r="G446" s="3">
        <v>451.0</v>
      </c>
      <c r="H446" s="3" t="str">
        <f>VLOOKUP(B446,'Currency Table'!$M$3:$N$6,2, FALSE)</f>
        <v>GBP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5.75" hidden="1" customHeight="1">
      <c r="A447" s="3" t="s">
        <v>172</v>
      </c>
      <c r="B447" s="3" t="s">
        <v>128</v>
      </c>
      <c r="C447" s="3" t="s">
        <v>137</v>
      </c>
      <c r="D447" s="4">
        <v>45663.0</v>
      </c>
      <c r="E447" s="3">
        <v>39.0</v>
      </c>
      <c r="F447" s="5">
        <v>2.0</v>
      </c>
      <c r="G447" s="3">
        <v>517.0</v>
      </c>
      <c r="H447" s="3" t="str">
        <f>VLOOKUP(B447,'Currency Table'!$M$3:$N$6,2, FALSE)</f>
        <v>GBP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5.75" hidden="1" customHeight="1">
      <c r="A448" s="3" t="s">
        <v>173</v>
      </c>
      <c r="B448" s="3" t="s">
        <v>128</v>
      </c>
      <c r="C448" s="3" t="s">
        <v>135</v>
      </c>
      <c r="D448" s="4">
        <v>45663.0</v>
      </c>
      <c r="E448" s="3">
        <v>64.0</v>
      </c>
      <c r="F448" s="5">
        <v>1.0</v>
      </c>
      <c r="G448" s="3">
        <v>1001.0</v>
      </c>
      <c r="H448" s="3" t="str">
        <f>VLOOKUP(B448,'Currency Table'!$M$3:$N$6,2, FALSE)</f>
        <v>GBP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5.75" hidden="1" customHeight="1">
      <c r="A449" s="3" t="s">
        <v>174</v>
      </c>
      <c r="B449" s="3" t="s">
        <v>128</v>
      </c>
      <c r="C449" s="3" t="s">
        <v>129</v>
      </c>
      <c r="D449" s="4">
        <v>45663.0</v>
      </c>
      <c r="E449" s="3">
        <v>44.0</v>
      </c>
      <c r="F449" s="5">
        <v>3.0</v>
      </c>
      <c r="G449" s="3">
        <v>520.0</v>
      </c>
      <c r="H449" s="3" t="str">
        <f>VLOOKUP(B449,'Currency Table'!$M$3:$N$6,2, FALSE)</f>
        <v>GBP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5.75" hidden="1" customHeight="1">
      <c r="A450" s="3" t="s">
        <v>175</v>
      </c>
      <c r="B450" s="3" t="s">
        <v>128</v>
      </c>
      <c r="C450" s="3" t="s">
        <v>145</v>
      </c>
      <c r="D450" s="4">
        <v>45663.0</v>
      </c>
      <c r="E450" s="3">
        <v>44.0</v>
      </c>
      <c r="F450" s="5">
        <v>4.0</v>
      </c>
      <c r="G450" s="3">
        <v>585.0</v>
      </c>
      <c r="H450" s="3" t="str">
        <f>VLOOKUP(B450,'Currency Table'!$M$3:$N$6,2, FALSE)</f>
        <v>GBP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5.75" hidden="1" customHeight="1">
      <c r="A451" s="3" t="s">
        <v>176</v>
      </c>
      <c r="B451" s="3" t="s">
        <v>128</v>
      </c>
      <c r="C451" s="3" t="s">
        <v>145</v>
      </c>
      <c r="D451" s="4">
        <v>45663.0</v>
      </c>
      <c r="E451" s="3">
        <v>38.0</v>
      </c>
      <c r="F451" s="5">
        <v>2.0</v>
      </c>
      <c r="G451" s="3">
        <v>668.0</v>
      </c>
      <c r="H451" s="3" t="str">
        <f>VLOOKUP(B451,'Currency Table'!$M$3:$N$6,2, FALSE)</f>
        <v>GBP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5.75" hidden="1" customHeight="1">
      <c r="A452" s="3" t="s">
        <v>177</v>
      </c>
      <c r="B452" s="3" t="s">
        <v>128</v>
      </c>
      <c r="C452" s="3" t="s">
        <v>129</v>
      </c>
      <c r="D452" s="4">
        <v>45663.0</v>
      </c>
      <c r="E452" s="3">
        <v>24.0</v>
      </c>
      <c r="F452" s="5">
        <v>0.0</v>
      </c>
      <c r="G452" s="3">
        <v>366.0</v>
      </c>
      <c r="H452" s="3" t="str">
        <f>VLOOKUP(B452,'Currency Table'!$M$3:$N$6,2, FALSE)</f>
        <v>GBP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5.75" hidden="1" customHeight="1">
      <c r="A453" s="3" t="s">
        <v>178</v>
      </c>
      <c r="B453" s="3" t="s">
        <v>128</v>
      </c>
      <c r="C453" s="3" t="s">
        <v>135</v>
      </c>
      <c r="D453" s="4">
        <v>45663.0</v>
      </c>
      <c r="E453" s="3">
        <v>47.0</v>
      </c>
      <c r="F453" s="5">
        <v>1.0</v>
      </c>
      <c r="G453" s="3">
        <v>794.0</v>
      </c>
      <c r="H453" s="3" t="str">
        <f>VLOOKUP(B453,'Currency Table'!$M$3:$N$6,2, FALSE)</f>
        <v>GBP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5.75" hidden="1" customHeight="1">
      <c r="A454" s="3" t="s">
        <v>179</v>
      </c>
      <c r="B454" s="3" t="s">
        <v>128</v>
      </c>
      <c r="C454" s="3" t="s">
        <v>137</v>
      </c>
      <c r="D454" s="4">
        <v>45663.0</v>
      </c>
      <c r="E454" s="3">
        <v>49.0</v>
      </c>
      <c r="F454" s="5">
        <v>5.0</v>
      </c>
      <c r="G454" s="3">
        <v>760.0</v>
      </c>
      <c r="H454" s="3" t="str">
        <f>VLOOKUP(B454,'Currency Table'!$M$3:$N$6,2, FALSE)</f>
        <v>GBP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5.75" hidden="1" customHeight="1">
      <c r="A455" s="3" t="s">
        <v>180</v>
      </c>
      <c r="B455" s="3" t="s">
        <v>128</v>
      </c>
      <c r="C455" s="3" t="s">
        <v>137</v>
      </c>
      <c r="D455" s="4">
        <v>45663.0</v>
      </c>
      <c r="E455" s="3">
        <v>54.0</v>
      </c>
      <c r="F455" s="5">
        <v>3.0</v>
      </c>
      <c r="G455" s="3">
        <v>842.0</v>
      </c>
      <c r="H455" s="3" t="str">
        <f>VLOOKUP(B455,'Currency Table'!$M$3:$N$6,2, FALSE)</f>
        <v>GBP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5.75" hidden="1" customHeight="1">
      <c r="A456" s="3" t="s">
        <v>181</v>
      </c>
      <c r="B456" s="3" t="s">
        <v>128</v>
      </c>
      <c r="C456" s="3" t="s">
        <v>133</v>
      </c>
      <c r="D456" s="4">
        <v>45663.0</v>
      </c>
      <c r="E456" s="3">
        <v>38.0</v>
      </c>
      <c r="F456" s="5">
        <v>3.0</v>
      </c>
      <c r="G456" s="3">
        <v>630.0</v>
      </c>
      <c r="H456" s="3" t="str">
        <f>VLOOKUP(B456,'Currency Table'!$M$3:$N$6,2, FALSE)</f>
        <v>GBP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5.75" hidden="1" customHeight="1">
      <c r="A457" s="3" t="s">
        <v>182</v>
      </c>
      <c r="B457" s="3" t="s">
        <v>128</v>
      </c>
      <c r="C457" s="3" t="s">
        <v>135</v>
      </c>
      <c r="D457" s="4">
        <v>45663.0</v>
      </c>
      <c r="E457" s="3">
        <v>53.0</v>
      </c>
      <c r="F457" s="5">
        <v>5.0</v>
      </c>
      <c r="G457" s="3">
        <v>839.0</v>
      </c>
      <c r="H457" s="3" t="str">
        <f>VLOOKUP(B457,'Currency Table'!$M$3:$N$6,2, FALSE)</f>
        <v>GBP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5.75" hidden="1" customHeight="1">
      <c r="A458" s="3" t="s">
        <v>183</v>
      </c>
      <c r="B458" s="3" t="s">
        <v>128</v>
      </c>
      <c r="C458" s="3" t="s">
        <v>137</v>
      </c>
      <c r="D458" s="4">
        <v>45663.0</v>
      </c>
      <c r="E458" s="3">
        <v>47.0</v>
      </c>
      <c r="F458" s="5">
        <v>1.0</v>
      </c>
      <c r="G458" s="3">
        <v>875.0</v>
      </c>
      <c r="H458" s="3" t="str">
        <f>VLOOKUP(B458,'Currency Table'!$M$3:$N$6,2, FALSE)</f>
        <v>GBP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5.75" hidden="1" customHeight="1">
      <c r="A459" s="3" t="s">
        <v>184</v>
      </c>
      <c r="B459" s="3" t="s">
        <v>128</v>
      </c>
      <c r="C459" s="3" t="s">
        <v>135</v>
      </c>
      <c r="D459" s="4">
        <v>45663.0</v>
      </c>
      <c r="E459" s="3">
        <v>62.0</v>
      </c>
      <c r="F459" s="5">
        <v>1.0</v>
      </c>
      <c r="G459" s="3">
        <v>1032.0</v>
      </c>
      <c r="H459" s="3" t="str">
        <f>VLOOKUP(B459,'Currency Table'!$M$3:$N$6,2, FALSE)</f>
        <v>GBP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5.75" hidden="1" customHeight="1">
      <c r="A460" s="3" t="s">
        <v>185</v>
      </c>
      <c r="B460" s="3" t="s">
        <v>128</v>
      </c>
      <c r="C460" s="3" t="s">
        <v>131</v>
      </c>
      <c r="D460" s="4">
        <v>45663.0</v>
      </c>
      <c r="E460" s="3">
        <v>28.0</v>
      </c>
      <c r="F460" s="5">
        <v>0.0</v>
      </c>
      <c r="G460" s="3">
        <v>412.0</v>
      </c>
      <c r="H460" s="3" t="str">
        <f>VLOOKUP(B460,'Currency Table'!$M$3:$N$6,2, FALSE)</f>
        <v>GBP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5.75" hidden="1" customHeight="1">
      <c r="A461" s="3" t="s">
        <v>186</v>
      </c>
      <c r="B461" s="3" t="s">
        <v>128</v>
      </c>
      <c r="C461" s="3" t="s">
        <v>133</v>
      </c>
      <c r="D461" s="4">
        <v>45663.0</v>
      </c>
      <c r="E461" s="3">
        <v>40.0</v>
      </c>
      <c r="F461" s="5">
        <v>1.0</v>
      </c>
      <c r="G461" s="3">
        <v>610.0</v>
      </c>
      <c r="H461" s="3" t="str">
        <f>VLOOKUP(B461,'Currency Table'!$M$3:$N$6,2, FALSE)</f>
        <v>GBP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5.75" hidden="1" customHeight="1">
      <c r="A462" s="3" t="s">
        <v>187</v>
      </c>
      <c r="B462" s="3" t="s">
        <v>128</v>
      </c>
      <c r="C462" s="3" t="s">
        <v>129</v>
      </c>
      <c r="D462" s="4">
        <v>45663.0</v>
      </c>
      <c r="E462" s="3">
        <v>39.0</v>
      </c>
      <c r="F462" s="5">
        <v>5.0</v>
      </c>
      <c r="G462" s="3">
        <v>592.0</v>
      </c>
      <c r="H462" s="3" t="str">
        <f>VLOOKUP(B462,'Currency Table'!$M$3:$N$6,2, FALSE)</f>
        <v>GBP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5.75" hidden="1" customHeight="1">
      <c r="A463" s="3" t="s">
        <v>188</v>
      </c>
      <c r="B463" s="3" t="s">
        <v>128</v>
      </c>
      <c r="C463" s="3" t="s">
        <v>145</v>
      </c>
      <c r="D463" s="4">
        <v>45663.0</v>
      </c>
      <c r="E463" s="3">
        <v>55.0</v>
      </c>
      <c r="F463" s="5">
        <v>1.0</v>
      </c>
      <c r="G463" s="3">
        <v>777.0</v>
      </c>
      <c r="H463" s="3" t="str">
        <f>VLOOKUP(B463,'Currency Table'!$M$3:$N$6,2, FALSE)</f>
        <v>GBP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5.75" hidden="1" customHeight="1">
      <c r="A464" s="3" t="s">
        <v>189</v>
      </c>
      <c r="B464" s="3" t="s">
        <v>128</v>
      </c>
      <c r="C464" s="3" t="s">
        <v>129</v>
      </c>
      <c r="D464" s="4">
        <v>45663.0</v>
      </c>
      <c r="E464" s="3">
        <v>48.0</v>
      </c>
      <c r="F464" s="5">
        <v>5.0</v>
      </c>
      <c r="G464" s="3">
        <v>756.0</v>
      </c>
      <c r="H464" s="3" t="str">
        <f>VLOOKUP(B464,'Currency Table'!$M$3:$N$6,2, FALSE)</f>
        <v>GBP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5.75" hidden="1" customHeight="1">
      <c r="A465" s="3" t="s">
        <v>190</v>
      </c>
      <c r="B465" s="3" t="s">
        <v>128</v>
      </c>
      <c r="C465" s="3" t="s">
        <v>145</v>
      </c>
      <c r="D465" s="4">
        <v>45663.0</v>
      </c>
      <c r="E465" s="3">
        <v>29.0</v>
      </c>
      <c r="F465" s="5">
        <v>1.0</v>
      </c>
      <c r="G465" s="3">
        <v>253.0</v>
      </c>
      <c r="H465" s="3" t="str">
        <f>VLOOKUP(B465,'Currency Table'!$M$3:$N$6,2, FALSE)</f>
        <v>GBP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5.75" hidden="1" customHeight="1">
      <c r="A466" s="3" t="s">
        <v>191</v>
      </c>
      <c r="B466" s="3" t="s">
        <v>128</v>
      </c>
      <c r="C466" s="3" t="s">
        <v>133</v>
      </c>
      <c r="D466" s="4">
        <v>45663.0</v>
      </c>
      <c r="E466" s="3">
        <v>53.0</v>
      </c>
      <c r="F466" s="5">
        <v>1.0</v>
      </c>
      <c r="G466" s="3">
        <v>792.0</v>
      </c>
      <c r="H466" s="3" t="str">
        <f>VLOOKUP(B466,'Currency Table'!$M$3:$N$6,2, FALSE)</f>
        <v>GBP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5.75" hidden="1" customHeight="1">
      <c r="A467" s="3" t="s">
        <v>192</v>
      </c>
      <c r="B467" s="3" t="s">
        <v>128</v>
      </c>
      <c r="C467" s="3" t="s">
        <v>131</v>
      </c>
      <c r="D467" s="4">
        <v>45663.0</v>
      </c>
      <c r="E467" s="3">
        <v>57.0</v>
      </c>
      <c r="F467" s="5">
        <v>0.0</v>
      </c>
      <c r="G467" s="3">
        <v>755.0</v>
      </c>
      <c r="H467" s="3" t="str">
        <f>VLOOKUP(B467,'Currency Table'!$M$3:$N$6,2, FALSE)</f>
        <v>GBP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5.75" hidden="1" customHeight="1">
      <c r="A468" s="3" t="s">
        <v>193</v>
      </c>
      <c r="B468" s="3" t="s">
        <v>128</v>
      </c>
      <c r="C468" s="3" t="s">
        <v>137</v>
      </c>
      <c r="D468" s="4">
        <v>45663.0</v>
      </c>
      <c r="E468" s="3">
        <v>35.0</v>
      </c>
      <c r="F468" s="5">
        <v>5.0</v>
      </c>
      <c r="G468" s="3">
        <v>574.0</v>
      </c>
      <c r="H468" s="3" t="str">
        <f>VLOOKUP(B468,'Currency Table'!$M$3:$N$6,2, FALSE)</f>
        <v>GBP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5.75" hidden="1" customHeight="1">
      <c r="A469" s="3" t="s">
        <v>194</v>
      </c>
      <c r="B469" s="3" t="s">
        <v>128</v>
      </c>
      <c r="C469" s="3" t="s">
        <v>137</v>
      </c>
      <c r="D469" s="4">
        <v>45663.0</v>
      </c>
      <c r="E469" s="3">
        <v>37.0</v>
      </c>
      <c r="F469" s="5">
        <v>4.0</v>
      </c>
      <c r="G469" s="3">
        <v>682.0</v>
      </c>
      <c r="H469" s="3" t="str">
        <f>VLOOKUP(B469,'Currency Table'!$M$3:$N$6,2, FALSE)</f>
        <v>GBP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5.75" hidden="1" customHeight="1">
      <c r="A470" s="3" t="s">
        <v>195</v>
      </c>
      <c r="B470" s="3" t="s">
        <v>128</v>
      </c>
      <c r="C470" s="3" t="s">
        <v>137</v>
      </c>
      <c r="D470" s="4">
        <v>45663.0</v>
      </c>
      <c r="E470" s="3">
        <v>20.0</v>
      </c>
      <c r="F470" s="5">
        <v>5.0</v>
      </c>
      <c r="G470" s="3">
        <v>371.0</v>
      </c>
      <c r="H470" s="3" t="str">
        <f>VLOOKUP(B470,'Currency Table'!$M$3:$N$6,2, FALSE)</f>
        <v>GBP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5.75" hidden="1" customHeight="1">
      <c r="A471" s="3" t="s">
        <v>196</v>
      </c>
      <c r="B471" s="3" t="s">
        <v>128</v>
      </c>
      <c r="C471" s="3" t="s">
        <v>129</v>
      </c>
      <c r="D471" s="4">
        <v>45663.0</v>
      </c>
      <c r="E471" s="3">
        <v>59.0</v>
      </c>
      <c r="F471" s="5">
        <v>5.0</v>
      </c>
      <c r="G471" s="3">
        <v>812.0</v>
      </c>
      <c r="H471" s="3" t="str">
        <f>VLOOKUP(B471,'Currency Table'!$M$3:$N$6,2, FALSE)</f>
        <v>GBP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5.75" hidden="1" customHeight="1">
      <c r="A472" s="3" t="s">
        <v>197</v>
      </c>
      <c r="B472" s="3" t="s">
        <v>128</v>
      </c>
      <c r="C472" s="3" t="s">
        <v>137</v>
      </c>
      <c r="D472" s="4">
        <v>45663.0</v>
      </c>
      <c r="E472" s="3">
        <v>53.0</v>
      </c>
      <c r="F472" s="5">
        <v>3.0</v>
      </c>
      <c r="G472" s="3">
        <v>811.0</v>
      </c>
      <c r="H472" s="3" t="str">
        <f>VLOOKUP(B472,'Currency Table'!$M$3:$N$6,2, FALSE)</f>
        <v>GBP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5.75" hidden="1" customHeight="1">
      <c r="A473" s="3" t="s">
        <v>198</v>
      </c>
      <c r="B473" s="3" t="s">
        <v>128</v>
      </c>
      <c r="C473" s="3" t="s">
        <v>131</v>
      </c>
      <c r="D473" s="4">
        <v>45663.0</v>
      </c>
      <c r="E473" s="3">
        <v>23.0</v>
      </c>
      <c r="F473" s="5">
        <v>1.0</v>
      </c>
      <c r="G473" s="3">
        <v>422.0</v>
      </c>
      <c r="H473" s="3" t="str">
        <f>VLOOKUP(B473,'Currency Table'!$M$3:$N$6,2, FALSE)</f>
        <v>GBP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5.75" hidden="1" customHeight="1">
      <c r="A474" s="3" t="s">
        <v>199</v>
      </c>
      <c r="B474" s="3" t="s">
        <v>128</v>
      </c>
      <c r="C474" s="3" t="s">
        <v>129</v>
      </c>
      <c r="D474" s="4">
        <v>45663.0</v>
      </c>
      <c r="E474" s="3">
        <v>29.0</v>
      </c>
      <c r="F474" s="5">
        <v>1.0</v>
      </c>
      <c r="G474" s="3">
        <v>459.0</v>
      </c>
      <c r="H474" s="3" t="str">
        <f>VLOOKUP(B474,'Currency Table'!$M$3:$N$6,2, FALSE)</f>
        <v>GBP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5.75" hidden="1" customHeight="1">
      <c r="A475" s="3" t="s">
        <v>200</v>
      </c>
      <c r="B475" s="3" t="s">
        <v>128</v>
      </c>
      <c r="C475" s="3" t="s">
        <v>135</v>
      </c>
      <c r="D475" s="4">
        <v>45663.0</v>
      </c>
      <c r="E475" s="3">
        <v>53.0</v>
      </c>
      <c r="F475" s="5">
        <v>0.0</v>
      </c>
      <c r="G475" s="3">
        <v>900.0</v>
      </c>
      <c r="H475" s="3" t="str">
        <f>VLOOKUP(B475,'Currency Table'!$M$3:$N$6,2, FALSE)</f>
        <v>GBP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5.75" hidden="1" customHeight="1">
      <c r="A476" s="3" t="s">
        <v>201</v>
      </c>
      <c r="B476" s="3" t="s">
        <v>128</v>
      </c>
      <c r="C476" s="3" t="s">
        <v>135</v>
      </c>
      <c r="D476" s="4">
        <v>45663.0</v>
      </c>
      <c r="E476" s="3">
        <v>65.0</v>
      </c>
      <c r="F476" s="5">
        <v>0.0</v>
      </c>
      <c r="G476" s="3">
        <v>1008.0</v>
      </c>
      <c r="H476" s="3" t="str">
        <f>VLOOKUP(B476,'Currency Table'!$M$3:$N$6,2, FALSE)</f>
        <v>GBP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5.75" hidden="1" customHeight="1">
      <c r="A477" s="3" t="s">
        <v>202</v>
      </c>
      <c r="B477" s="3" t="s">
        <v>128</v>
      </c>
      <c r="C477" s="3" t="s">
        <v>131</v>
      </c>
      <c r="D477" s="4">
        <v>45663.0</v>
      </c>
      <c r="E477" s="3">
        <v>70.0</v>
      </c>
      <c r="F477" s="5">
        <v>4.0</v>
      </c>
      <c r="G477" s="3">
        <v>961.0</v>
      </c>
      <c r="H477" s="3" t="str">
        <f>VLOOKUP(B477,'Currency Table'!$M$3:$N$6,2, FALSE)</f>
        <v>GBP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5.75" hidden="1" customHeight="1">
      <c r="A478" s="3" t="s">
        <v>203</v>
      </c>
      <c r="B478" s="3" t="s">
        <v>128</v>
      </c>
      <c r="C478" s="3" t="s">
        <v>145</v>
      </c>
      <c r="D478" s="4">
        <v>45663.0</v>
      </c>
      <c r="E478" s="3">
        <v>69.0</v>
      </c>
      <c r="F478" s="5">
        <v>1.0</v>
      </c>
      <c r="G478" s="3">
        <v>1078.0</v>
      </c>
      <c r="H478" s="3" t="str">
        <f>VLOOKUP(B478,'Currency Table'!$M$3:$N$6,2, FALSE)</f>
        <v>GBP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5.75" hidden="1" customHeight="1">
      <c r="A479" s="3" t="s">
        <v>204</v>
      </c>
      <c r="B479" s="3" t="s">
        <v>128</v>
      </c>
      <c r="C479" s="3" t="s">
        <v>133</v>
      </c>
      <c r="D479" s="4">
        <v>45663.0</v>
      </c>
      <c r="E479" s="3">
        <v>65.0</v>
      </c>
      <c r="F479" s="5">
        <v>1.0</v>
      </c>
      <c r="G479" s="3">
        <v>1003.0</v>
      </c>
      <c r="H479" s="3" t="str">
        <f>VLOOKUP(B479,'Currency Table'!$M$3:$N$6,2, FALSE)</f>
        <v>GBP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5.75" hidden="1" customHeight="1">
      <c r="A480" s="3" t="s">
        <v>205</v>
      </c>
      <c r="B480" s="3" t="s">
        <v>128</v>
      </c>
      <c r="C480" s="3" t="s">
        <v>131</v>
      </c>
      <c r="D480" s="4">
        <v>45663.0</v>
      </c>
      <c r="E480" s="3">
        <v>13.0</v>
      </c>
      <c r="F480" s="5">
        <v>1.0</v>
      </c>
      <c r="G480" s="3">
        <v>239.0</v>
      </c>
      <c r="H480" s="3" t="str">
        <f>VLOOKUP(B480,'Currency Table'!$M$3:$N$6,2, FALSE)</f>
        <v>GBP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5.75" hidden="1" customHeight="1">
      <c r="A481" s="3" t="s">
        <v>206</v>
      </c>
      <c r="B481" s="3" t="s">
        <v>128</v>
      </c>
      <c r="C481" s="3" t="s">
        <v>133</v>
      </c>
      <c r="D481" s="4">
        <v>45663.0</v>
      </c>
      <c r="E481" s="3">
        <v>13.0</v>
      </c>
      <c r="F481" s="5">
        <v>0.0</v>
      </c>
      <c r="G481" s="3">
        <v>170.0</v>
      </c>
      <c r="H481" s="3" t="str">
        <f>VLOOKUP(B481,'Currency Table'!$M$3:$N$6,2, FALSE)</f>
        <v>GBP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5.75" hidden="1" customHeight="1">
      <c r="A482" s="3" t="s">
        <v>207</v>
      </c>
      <c r="B482" s="3" t="s">
        <v>128</v>
      </c>
      <c r="C482" s="3" t="s">
        <v>133</v>
      </c>
      <c r="D482" s="4">
        <v>45663.0</v>
      </c>
      <c r="E482" s="3">
        <v>64.0</v>
      </c>
      <c r="F482" s="5">
        <v>2.0</v>
      </c>
      <c r="G482" s="3">
        <v>999.0</v>
      </c>
      <c r="H482" s="3" t="str">
        <f>VLOOKUP(B482,'Currency Table'!$M$3:$N$6,2, FALSE)</f>
        <v>GBP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5.75" hidden="1" customHeight="1">
      <c r="A483" s="3" t="s">
        <v>208</v>
      </c>
      <c r="B483" s="3" t="s">
        <v>128</v>
      </c>
      <c r="C483" s="3" t="s">
        <v>133</v>
      </c>
      <c r="D483" s="4">
        <v>45663.0</v>
      </c>
      <c r="E483" s="3">
        <v>60.0</v>
      </c>
      <c r="F483" s="5">
        <v>5.0</v>
      </c>
      <c r="G483" s="3">
        <v>788.0</v>
      </c>
      <c r="H483" s="3" t="str">
        <f>VLOOKUP(B483,'Currency Table'!$M$3:$N$6,2, FALSE)</f>
        <v>GBP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5.75" hidden="1" customHeight="1">
      <c r="A484" s="3" t="s">
        <v>132</v>
      </c>
      <c r="B484" s="3" t="s">
        <v>128</v>
      </c>
      <c r="C484" s="3" t="s">
        <v>133</v>
      </c>
      <c r="D484" s="4">
        <v>45670.0</v>
      </c>
      <c r="E484" s="3">
        <v>11.0</v>
      </c>
      <c r="F484" s="5">
        <v>0.0</v>
      </c>
      <c r="G484" s="3">
        <v>170.0</v>
      </c>
      <c r="H484" s="3" t="str">
        <f>VLOOKUP(B484,'Currency Table'!$M$3:$N$6,2, FALSE)</f>
        <v>GBP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5.75" hidden="1" customHeight="1">
      <c r="A485" s="3" t="s">
        <v>127</v>
      </c>
      <c r="B485" s="3" t="s">
        <v>128</v>
      </c>
      <c r="C485" s="3" t="s">
        <v>129</v>
      </c>
      <c r="D485" s="4">
        <v>45670.0</v>
      </c>
      <c r="E485" s="3">
        <v>66.0</v>
      </c>
      <c r="F485" s="5">
        <v>1.0</v>
      </c>
      <c r="G485" s="3">
        <v>916.0</v>
      </c>
      <c r="H485" s="3" t="str">
        <f>VLOOKUP(B485,'Currency Table'!$M$3:$N$6,2, FALSE)</f>
        <v>GBP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5.75" hidden="1" customHeight="1">
      <c r="A486" s="3" t="s">
        <v>141</v>
      </c>
      <c r="B486" s="3" t="s">
        <v>128</v>
      </c>
      <c r="C486" s="3" t="s">
        <v>129</v>
      </c>
      <c r="D486" s="4">
        <v>45670.0</v>
      </c>
      <c r="E486" s="3">
        <v>49.0</v>
      </c>
      <c r="F486" s="5">
        <v>0.0</v>
      </c>
      <c r="G486" s="3">
        <v>718.0</v>
      </c>
      <c r="H486" s="3" t="str">
        <f>VLOOKUP(B486,'Currency Table'!$M$3:$N$6,2, FALSE)</f>
        <v>GBP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5.75" hidden="1" customHeight="1">
      <c r="A487" s="3" t="s">
        <v>144</v>
      </c>
      <c r="B487" s="3" t="s">
        <v>128</v>
      </c>
      <c r="C487" s="3" t="s">
        <v>145</v>
      </c>
      <c r="D487" s="4">
        <v>45670.0</v>
      </c>
      <c r="E487" s="3">
        <v>19.0</v>
      </c>
      <c r="F487" s="5">
        <v>3.0</v>
      </c>
      <c r="G487" s="3">
        <v>409.0</v>
      </c>
      <c r="H487" s="3" t="str">
        <f>VLOOKUP(B487,'Currency Table'!$M$3:$N$6,2, FALSE)</f>
        <v>GBP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5.75" hidden="1" customHeight="1">
      <c r="A488" s="3" t="s">
        <v>130</v>
      </c>
      <c r="B488" s="3" t="s">
        <v>128</v>
      </c>
      <c r="C488" s="3" t="s">
        <v>131</v>
      </c>
      <c r="D488" s="4">
        <v>45670.0</v>
      </c>
      <c r="E488" s="3">
        <v>29.0</v>
      </c>
      <c r="F488" s="5">
        <v>3.0</v>
      </c>
      <c r="G488" s="3">
        <v>396.0</v>
      </c>
      <c r="H488" s="3" t="str">
        <f>VLOOKUP(B488,'Currency Table'!$M$3:$N$6,2, FALSE)</f>
        <v>GBP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5.75" hidden="1" customHeight="1">
      <c r="A489" s="3" t="s">
        <v>151</v>
      </c>
      <c r="B489" s="3" t="s">
        <v>128</v>
      </c>
      <c r="C489" s="3" t="s">
        <v>145</v>
      </c>
      <c r="D489" s="4">
        <v>45670.0</v>
      </c>
      <c r="E489" s="3">
        <v>13.0</v>
      </c>
      <c r="F489" s="5">
        <v>5.0</v>
      </c>
      <c r="G489" s="3">
        <v>177.0</v>
      </c>
      <c r="H489" s="3" t="str">
        <f>VLOOKUP(B489,'Currency Table'!$M$3:$N$6,2, FALSE)</f>
        <v>GBP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5.75" hidden="1" customHeight="1">
      <c r="A490" s="3" t="s">
        <v>209</v>
      </c>
      <c r="B490" s="3" t="s">
        <v>128</v>
      </c>
      <c r="C490" s="3" t="s">
        <v>133</v>
      </c>
      <c r="D490" s="4">
        <v>45670.0</v>
      </c>
      <c r="E490" s="3">
        <v>54.0</v>
      </c>
      <c r="F490" s="5">
        <v>2.0</v>
      </c>
      <c r="G490" s="3">
        <v>719.0</v>
      </c>
      <c r="H490" s="3" t="str">
        <f>VLOOKUP(B490,'Currency Table'!$M$3:$N$6,2, FALSE)</f>
        <v>GBP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5.75" hidden="1" customHeight="1">
      <c r="A491" s="3" t="s">
        <v>158</v>
      </c>
      <c r="B491" s="3" t="s">
        <v>128</v>
      </c>
      <c r="C491" s="3" t="s">
        <v>145</v>
      </c>
      <c r="D491" s="4">
        <v>45670.0</v>
      </c>
      <c r="E491" s="3">
        <v>18.0</v>
      </c>
      <c r="F491" s="5">
        <v>3.0</v>
      </c>
      <c r="G491" s="3">
        <v>306.0</v>
      </c>
      <c r="H491" s="3" t="str">
        <f>VLOOKUP(B491,'Currency Table'!$M$3:$N$6,2, FALSE)</f>
        <v>GBP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5.75" hidden="1" customHeight="1">
      <c r="A492" s="3" t="s">
        <v>134</v>
      </c>
      <c r="B492" s="3" t="s">
        <v>128</v>
      </c>
      <c r="C492" s="3" t="s">
        <v>135</v>
      </c>
      <c r="D492" s="4">
        <v>45670.0</v>
      </c>
      <c r="E492" s="3">
        <v>52.0</v>
      </c>
      <c r="F492" s="5">
        <v>3.0</v>
      </c>
      <c r="G492" s="3">
        <v>747.0</v>
      </c>
      <c r="H492" s="3" t="str">
        <f>VLOOKUP(B492,'Currency Table'!$M$3:$N$6,2, FALSE)</f>
        <v>GBP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5.75" hidden="1" customHeight="1">
      <c r="A493" s="3" t="s">
        <v>210</v>
      </c>
      <c r="B493" s="3" t="s">
        <v>128</v>
      </c>
      <c r="C493" s="3" t="s">
        <v>131</v>
      </c>
      <c r="D493" s="4">
        <v>45670.0</v>
      </c>
      <c r="E493" s="3">
        <v>33.0</v>
      </c>
      <c r="F493" s="5">
        <v>5.0</v>
      </c>
      <c r="G493" s="3">
        <v>507.0</v>
      </c>
      <c r="H493" s="3" t="str">
        <f>VLOOKUP(B493,'Currency Table'!$M$3:$N$6,2, FALSE)</f>
        <v>GBP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5.75" hidden="1" customHeight="1">
      <c r="A494" s="3" t="s">
        <v>147</v>
      </c>
      <c r="B494" s="3" t="s">
        <v>128</v>
      </c>
      <c r="C494" s="3" t="s">
        <v>131</v>
      </c>
      <c r="D494" s="4">
        <v>45670.0</v>
      </c>
      <c r="E494" s="3">
        <v>26.0</v>
      </c>
      <c r="F494" s="5">
        <v>0.0</v>
      </c>
      <c r="G494" s="3">
        <v>402.0</v>
      </c>
      <c r="H494" s="3" t="str">
        <f>VLOOKUP(B494,'Currency Table'!$M$3:$N$6,2, FALSE)</f>
        <v>GBP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5.75" hidden="1" customHeight="1">
      <c r="A495" s="3" t="s">
        <v>211</v>
      </c>
      <c r="B495" s="3" t="s">
        <v>128</v>
      </c>
      <c r="C495" s="3" t="s">
        <v>135</v>
      </c>
      <c r="D495" s="4">
        <v>45670.0</v>
      </c>
      <c r="E495" s="3">
        <v>39.0</v>
      </c>
      <c r="F495" s="5">
        <v>3.0</v>
      </c>
      <c r="G495" s="3">
        <v>688.0</v>
      </c>
      <c r="H495" s="3" t="str">
        <f>VLOOKUP(B495,'Currency Table'!$M$3:$N$6,2, FALSE)</f>
        <v>GBP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5.75" hidden="1" customHeight="1">
      <c r="A496" s="3" t="s">
        <v>136</v>
      </c>
      <c r="B496" s="3" t="s">
        <v>128</v>
      </c>
      <c r="C496" s="3" t="s">
        <v>137</v>
      </c>
      <c r="D496" s="4">
        <v>45670.0</v>
      </c>
      <c r="E496" s="3">
        <v>55.0</v>
      </c>
      <c r="F496" s="5">
        <v>0.0</v>
      </c>
      <c r="G496" s="3">
        <v>860.0</v>
      </c>
      <c r="H496" s="3" t="str">
        <f>VLOOKUP(B496,'Currency Table'!$M$3:$N$6,2, FALSE)</f>
        <v>GBP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5.75" hidden="1" customHeight="1">
      <c r="A497" s="3" t="s">
        <v>166</v>
      </c>
      <c r="B497" s="3" t="s">
        <v>128</v>
      </c>
      <c r="C497" s="3" t="s">
        <v>133</v>
      </c>
      <c r="D497" s="4">
        <v>45670.0</v>
      </c>
      <c r="E497" s="3">
        <v>25.0</v>
      </c>
      <c r="F497" s="5">
        <v>4.0</v>
      </c>
      <c r="G497" s="3">
        <v>394.0</v>
      </c>
      <c r="H497" s="3" t="str">
        <f>VLOOKUP(B497,'Currency Table'!$M$3:$N$6,2, FALSE)</f>
        <v>GBP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5.75" hidden="1" customHeight="1">
      <c r="A498" s="3" t="s">
        <v>181</v>
      </c>
      <c r="B498" s="3" t="s">
        <v>128</v>
      </c>
      <c r="C498" s="3" t="s">
        <v>133</v>
      </c>
      <c r="D498" s="4">
        <v>45670.0</v>
      </c>
      <c r="E498" s="3">
        <v>43.0</v>
      </c>
      <c r="F498" s="5">
        <v>0.0</v>
      </c>
      <c r="G498" s="3">
        <v>552.0</v>
      </c>
      <c r="H498" s="3" t="str">
        <f>VLOOKUP(B498,'Currency Table'!$M$3:$N$6,2, FALSE)</f>
        <v>GBP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5.75" hidden="1" customHeight="1">
      <c r="A499" s="3" t="s">
        <v>139</v>
      </c>
      <c r="B499" s="3" t="s">
        <v>128</v>
      </c>
      <c r="C499" s="3" t="s">
        <v>135</v>
      </c>
      <c r="D499" s="4">
        <v>45670.0</v>
      </c>
      <c r="E499" s="3">
        <v>66.0</v>
      </c>
      <c r="F499" s="5">
        <v>0.0</v>
      </c>
      <c r="G499" s="3">
        <v>1002.0</v>
      </c>
      <c r="H499" s="3" t="str">
        <f>VLOOKUP(B499,'Currency Table'!$M$3:$N$6,2, FALSE)</f>
        <v>GBP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5.75" hidden="1" customHeight="1">
      <c r="A500" s="3" t="s">
        <v>146</v>
      </c>
      <c r="B500" s="3" t="s">
        <v>128</v>
      </c>
      <c r="C500" s="3" t="s">
        <v>137</v>
      </c>
      <c r="D500" s="4">
        <v>45670.0</v>
      </c>
      <c r="E500" s="3">
        <v>63.0</v>
      </c>
      <c r="F500" s="5">
        <v>2.0</v>
      </c>
      <c r="G500" s="3">
        <v>1011.0</v>
      </c>
      <c r="H500" s="3" t="str">
        <f>VLOOKUP(B500,'Currency Table'!$M$3:$N$6,2, FALSE)</f>
        <v>GBP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5.75" hidden="1" customHeight="1">
      <c r="A501" s="3" t="s">
        <v>149</v>
      </c>
      <c r="B501" s="3" t="s">
        <v>128</v>
      </c>
      <c r="C501" s="3" t="s">
        <v>135</v>
      </c>
      <c r="D501" s="4">
        <v>45670.0</v>
      </c>
      <c r="E501" s="3">
        <v>11.0</v>
      </c>
      <c r="F501" s="5">
        <v>2.0</v>
      </c>
      <c r="G501" s="3">
        <v>155.0</v>
      </c>
      <c r="H501" s="3" t="str">
        <f>VLOOKUP(B501,'Currency Table'!$M$3:$N$6,2, FALSE)</f>
        <v>GBP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5.75" hidden="1" customHeight="1">
      <c r="A502" s="3" t="s">
        <v>143</v>
      </c>
      <c r="B502" s="3" t="s">
        <v>128</v>
      </c>
      <c r="C502" s="3" t="s">
        <v>129</v>
      </c>
      <c r="D502" s="4">
        <v>45670.0</v>
      </c>
      <c r="E502" s="3">
        <v>26.0</v>
      </c>
      <c r="F502" s="5">
        <v>3.0</v>
      </c>
      <c r="G502" s="3">
        <v>349.0</v>
      </c>
      <c r="H502" s="3" t="str">
        <f>VLOOKUP(B502,'Currency Table'!$M$3:$N$6,2, FALSE)</f>
        <v>GBP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5.75" hidden="1" customHeight="1">
      <c r="A503" s="3" t="s">
        <v>159</v>
      </c>
      <c r="B503" s="3" t="s">
        <v>128</v>
      </c>
      <c r="C503" s="3" t="s">
        <v>145</v>
      </c>
      <c r="D503" s="4">
        <v>45670.0</v>
      </c>
      <c r="E503" s="3">
        <v>67.0</v>
      </c>
      <c r="F503" s="5">
        <v>4.0</v>
      </c>
      <c r="G503" s="3">
        <v>981.0</v>
      </c>
      <c r="H503" s="3" t="str">
        <f>VLOOKUP(B503,'Currency Table'!$M$3:$N$6,2, FALSE)</f>
        <v>GBP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5.75" hidden="1" customHeight="1">
      <c r="A504" s="3" t="s">
        <v>148</v>
      </c>
      <c r="B504" s="3" t="s">
        <v>128</v>
      </c>
      <c r="C504" s="3" t="s">
        <v>137</v>
      </c>
      <c r="D504" s="4">
        <v>45670.0</v>
      </c>
      <c r="E504" s="3">
        <v>57.0</v>
      </c>
      <c r="F504" s="5">
        <v>5.0</v>
      </c>
      <c r="G504" s="3">
        <v>710.0</v>
      </c>
      <c r="H504" s="3" t="str">
        <f>VLOOKUP(B504,'Currency Table'!$M$3:$N$6,2, FALSE)</f>
        <v>GBP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5.75" hidden="1" customHeight="1">
      <c r="A505" s="3" t="s">
        <v>155</v>
      </c>
      <c r="B505" s="3" t="s">
        <v>128</v>
      </c>
      <c r="C505" s="3" t="s">
        <v>135</v>
      </c>
      <c r="D505" s="4">
        <v>45670.0</v>
      </c>
      <c r="E505" s="3">
        <v>67.0</v>
      </c>
      <c r="F505" s="5">
        <v>4.0</v>
      </c>
      <c r="G505" s="3">
        <v>987.0</v>
      </c>
      <c r="H505" s="3" t="str">
        <f>VLOOKUP(B505,'Currency Table'!$M$3:$N$6,2, FALSE)</f>
        <v>GBP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5.75" hidden="1" customHeight="1">
      <c r="A506" s="3" t="s">
        <v>150</v>
      </c>
      <c r="B506" s="3" t="s">
        <v>128</v>
      </c>
      <c r="C506" s="3" t="s">
        <v>137</v>
      </c>
      <c r="D506" s="4">
        <v>45670.0</v>
      </c>
      <c r="E506" s="3">
        <v>63.0</v>
      </c>
      <c r="F506" s="5">
        <v>1.0</v>
      </c>
      <c r="G506" s="3">
        <v>963.0</v>
      </c>
      <c r="H506" s="3" t="str">
        <f>VLOOKUP(B506,'Currency Table'!$M$3:$N$6,2, FALSE)</f>
        <v>GBP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5.75" hidden="1" customHeight="1">
      <c r="A507" s="3" t="s">
        <v>157</v>
      </c>
      <c r="B507" s="3" t="s">
        <v>128</v>
      </c>
      <c r="C507" s="3" t="s">
        <v>137</v>
      </c>
      <c r="D507" s="4">
        <v>45670.0</v>
      </c>
      <c r="E507" s="3">
        <v>46.0</v>
      </c>
      <c r="F507" s="5">
        <v>5.0</v>
      </c>
      <c r="G507" s="3">
        <v>722.0</v>
      </c>
      <c r="H507" s="3" t="str">
        <f>VLOOKUP(B507,'Currency Table'!$M$3:$N$6,2, FALSE)</f>
        <v>GBP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5.75" hidden="1" customHeight="1">
      <c r="A508" s="3" t="s">
        <v>163</v>
      </c>
      <c r="B508" s="3" t="s">
        <v>128</v>
      </c>
      <c r="C508" s="3" t="s">
        <v>129</v>
      </c>
      <c r="D508" s="4">
        <v>45670.0</v>
      </c>
      <c r="E508" s="3">
        <v>44.0</v>
      </c>
      <c r="F508" s="5">
        <v>2.0</v>
      </c>
      <c r="G508" s="3">
        <v>660.0</v>
      </c>
      <c r="H508" s="3" t="str">
        <f>VLOOKUP(B508,'Currency Table'!$M$3:$N$6,2, FALSE)</f>
        <v>GBP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5.75" hidden="1" customHeight="1">
      <c r="A509" s="3" t="s">
        <v>164</v>
      </c>
      <c r="B509" s="3" t="s">
        <v>128</v>
      </c>
      <c r="C509" s="3" t="s">
        <v>129</v>
      </c>
      <c r="D509" s="4">
        <v>45670.0</v>
      </c>
      <c r="E509" s="3">
        <v>52.0</v>
      </c>
      <c r="F509" s="5">
        <v>4.0</v>
      </c>
      <c r="G509" s="3">
        <v>737.0</v>
      </c>
      <c r="H509" s="3" t="str">
        <f>VLOOKUP(B509,'Currency Table'!$M$3:$N$6,2, FALSE)</f>
        <v>GBP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5.75" hidden="1" customHeight="1">
      <c r="A510" s="3" t="s">
        <v>170</v>
      </c>
      <c r="B510" s="3" t="s">
        <v>128</v>
      </c>
      <c r="C510" s="3" t="s">
        <v>145</v>
      </c>
      <c r="D510" s="4">
        <v>45670.0</v>
      </c>
      <c r="E510" s="3">
        <v>41.0</v>
      </c>
      <c r="F510" s="5">
        <v>0.0</v>
      </c>
      <c r="G510" s="3">
        <v>612.0</v>
      </c>
      <c r="H510" s="3" t="str">
        <f>VLOOKUP(B510,'Currency Table'!$M$3:$N$6,2, FALSE)</f>
        <v>GBP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5.75" hidden="1" customHeight="1">
      <c r="A511" s="3" t="s">
        <v>169</v>
      </c>
      <c r="B511" s="3" t="s">
        <v>128</v>
      </c>
      <c r="C511" s="3" t="s">
        <v>129</v>
      </c>
      <c r="D511" s="4">
        <v>45670.0</v>
      </c>
      <c r="E511" s="3">
        <v>48.0</v>
      </c>
      <c r="F511" s="5">
        <v>2.0</v>
      </c>
      <c r="G511" s="3">
        <v>762.0</v>
      </c>
      <c r="H511" s="3" t="str">
        <f>VLOOKUP(B511,'Currency Table'!$M$3:$N$6,2, FALSE)</f>
        <v>GBP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5.75" hidden="1" customHeight="1">
      <c r="A512" s="3" t="s">
        <v>167</v>
      </c>
      <c r="B512" s="3" t="s">
        <v>128</v>
      </c>
      <c r="C512" s="3" t="s">
        <v>135</v>
      </c>
      <c r="D512" s="4">
        <v>45670.0</v>
      </c>
      <c r="E512" s="3">
        <v>21.0</v>
      </c>
      <c r="F512" s="5">
        <v>1.0</v>
      </c>
      <c r="G512" s="3">
        <v>449.0</v>
      </c>
      <c r="H512" s="3" t="str">
        <f>VLOOKUP(B512,'Currency Table'!$M$3:$N$6,2, FALSE)</f>
        <v>GBP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5.75" hidden="1" customHeight="1">
      <c r="A513" s="3" t="s">
        <v>152</v>
      </c>
      <c r="B513" s="3" t="s">
        <v>128</v>
      </c>
      <c r="C513" s="3" t="s">
        <v>131</v>
      </c>
      <c r="D513" s="4">
        <v>45670.0</v>
      </c>
      <c r="E513" s="3">
        <v>30.0</v>
      </c>
      <c r="F513" s="5">
        <v>1.0</v>
      </c>
      <c r="G513" s="3">
        <v>293.0</v>
      </c>
      <c r="H513" s="3" t="str">
        <f>VLOOKUP(B513,'Currency Table'!$M$3:$N$6,2, FALSE)</f>
        <v>GBP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5.75" hidden="1" customHeight="1">
      <c r="A514" s="3" t="s">
        <v>168</v>
      </c>
      <c r="B514" s="3" t="s">
        <v>128</v>
      </c>
      <c r="C514" s="3" t="s">
        <v>135</v>
      </c>
      <c r="D514" s="4">
        <v>45670.0</v>
      </c>
      <c r="E514" s="3">
        <v>21.0</v>
      </c>
      <c r="F514" s="5">
        <v>5.0</v>
      </c>
      <c r="G514" s="3">
        <v>362.0</v>
      </c>
      <c r="H514" s="3" t="str">
        <f>VLOOKUP(B514,'Currency Table'!$M$3:$N$6,2, FALSE)</f>
        <v>GBP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5.75" hidden="1" customHeight="1">
      <c r="A515" s="3" t="s">
        <v>212</v>
      </c>
      <c r="B515" s="3" t="s">
        <v>128</v>
      </c>
      <c r="C515" s="3" t="s">
        <v>133</v>
      </c>
      <c r="D515" s="4">
        <v>45670.0</v>
      </c>
      <c r="E515" s="3">
        <v>37.0</v>
      </c>
      <c r="F515" s="5">
        <v>3.0</v>
      </c>
      <c r="G515" s="3">
        <v>690.0</v>
      </c>
      <c r="H515" s="3" t="str">
        <f>VLOOKUP(B515,'Currency Table'!$M$3:$N$6,2, FALSE)</f>
        <v>GBP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5.75" hidden="1" customHeight="1">
      <c r="A516" s="3" t="s">
        <v>154</v>
      </c>
      <c r="B516" s="3" t="s">
        <v>128</v>
      </c>
      <c r="C516" s="3" t="s">
        <v>131</v>
      </c>
      <c r="D516" s="4">
        <v>45670.0</v>
      </c>
      <c r="E516" s="3">
        <v>16.0</v>
      </c>
      <c r="F516" s="5">
        <v>2.0</v>
      </c>
      <c r="G516" s="3">
        <v>292.0</v>
      </c>
      <c r="H516" s="3" t="str">
        <f>VLOOKUP(B516,'Currency Table'!$M$3:$N$6,2, FALSE)</f>
        <v>GBP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5.75" hidden="1" customHeight="1">
      <c r="A517" s="3" t="s">
        <v>175</v>
      </c>
      <c r="B517" s="3" t="s">
        <v>128</v>
      </c>
      <c r="C517" s="3" t="s">
        <v>145</v>
      </c>
      <c r="D517" s="4">
        <v>45670.0</v>
      </c>
      <c r="E517" s="3">
        <v>64.0</v>
      </c>
      <c r="F517" s="5">
        <v>2.0</v>
      </c>
      <c r="G517" s="3">
        <v>999.0</v>
      </c>
      <c r="H517" s="3" t="str">
        <f>VLOOKUP(B517,'Currency Table'!$M$3:$N$6,2, FALSE)</f>
        <v>GBP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5.75" hidden="1" customHeight="1">
      <c r="A518" s="3" t="s">
        <v>174</v>
      </c>
      <c r="B518" s="3" t="s">
        <v>128</v>
      </c>
      <c r="C518" s="3" t="s">
        <v>129</v>
      </c>
      <c r="D518" s="4">
        <v>45670.0</v>
      </c>
      <c r="E518" s="3">
        <v>62.0</v>
      </c>
      <c r="F518" s="5">
        <v>3.0</v>
      </c>
      <c r="G518" s="3">
        <v>993.0</v>
      </c>
      <c r="H518" s="3" t="str">
        <f>VLOOKUP(B518,'Currency Table'!$M$3:$N$6,2, FALSE)</f>
        <v>GBP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5.75" hidden="1" customHeight="1">
      <c r="A519" s="3" t="s">
        <v>165</v>
      </c>
      <c r="B519" s="3" t="s">
        <v>128</v>
      </c>
      <c r="C519" s="3" t="s">
        <v>137</v>
      </c>
      <c r="D519" s="4">
        <v>45670.0</v>
      </c>
      <c r="E519" s="3">
        <v>21.0</v>
      </c>
      <c r="F519" s="5">
        <v>3.0</v>
      </c>
      <c r="G519" s="3">
        <v>320.0</v>
      </c>
      <c r="H519" s="3" t="str">
        <f>VLOOKUP(B519,'Currency Table'!$M$3:$N$6,2, FALSE)</f>
        <v>GBP</v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5.75" hidden="1" customHeight="1">
      <c r="A520" s="3" t="s">
        <v>176</v>
      </c>
      <c r="B520" s="3" t="s">
        <v>128</v>
      </c>
      <c r="C520" s="3" t="s">
        <v>145</v>
      </c>
      <c r="D520" s="4">
        <v>45670.0</v>
      </c>
      <c r="E520" s="3">
        <v>40.0</v>
      </c>
      <c r="F520" s="5">
        <v>2.0</v>
      </c>
      <c r="G520" s="3">
        <v>602.0</v>
      </c>
      <c r="H520" s="3" t="str">
        <f>VLOOKUP(B520,'Currency Table'!$M$3:$N$6,2, FALSE)</f>
        <v>GBP</v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5.75" hidden="1" customHeight="1">
      <c r="A521" s="3" t="s">
        <v>160</v>
      </c>
      <c r="B521" s="3" t="s">
        <v>128</v>
      </c>
      <c r="C521" s="3" t="s">
        <v>131</v>
      </c>
      <c r="D521" s="4">
        <v>45670.0</v>
      </c>
      <c r="E521" s="3">
        <v>26.0</v>
      </c>
      <c r="F521" s="5">
        <v>1.0</v>
      </c>
      <c r="G521" s="3">
        <v>473.0</v>
      </c>
      <c r="H521" s="3" t="str">
        <f>VLOOKUP(B521,'Currency Table'!$M$3:$N$6,2, FALSE)</f>
        <v>GBP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5.75" hidden="1" customHeight="1">
      <c r="A522" s="3" t="s">
        <v>188</v>
      </c>
      <c r="B522" s="3" t="s">
        <v>128</v>
      </c>
      <c r="C522" s="3" t="s">
        <v>145</v>
      </c>
      <c r="D522" s="4">
        <v>45670.0</v>
      </c>
      <c r="E522" s="3">
        <v>44.0</v>
      </c>
      <c r="F522" s="5">
        <v>4.0</v>
      </c>
      <c r="G522" s="3">
        <v>696.0</v>
      </c>
      <c r="H522" s="3" t="str">
        <f>VLOOKUP(B522,'Currency Table'!$M$3:$N$6,2, FALSE)</f>
        <v>GBP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5.75" hidden="1" customHeight="1">
      <c r="A523" s="3" t="s">
        <v>173</v>
      </c>
      <c r="B523" s="3" t="s">
        <v>128</v>
      </c>
      <c r="C523" s="3" t="s">
        <v>135</v>
      </c>
      <c r="D523" s="4">
        <v>45670.0</v>
      </c>
      <c r="E523" s="3">
        <v>19.0</v>
      </c>
      <c r="F523" s="5">
        <v>2.0</v>
      </c>
      <c r="G523" s="3">
        <v>374.0</v>
      </c>
      <c r="H523" s="3" t="str">
        <f>VLOOKUP(B523,'Currency Table'!$M$3:$N$6,2, FALSE)</f>
        <v>GBP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5.75" hidden="1" customHeight="1">
      <c r="A524" s="3" t="s">
        <v>171</v>
      </c>
      <c r="B524" s="3" t="s">
        <v>128</v>
      </c>
      <c r="C524" s="3" t="s">
        <v>137</v>
      </c>
      <c r="D524" s="4">
        <v>45670.0</v>
      </c>
      <c r="E524" s="3">
        <v>41.0</v>
      </c>
      <c r="F524" s="5">
        <v>3.0</v>
      </c>
      <c r="G524" s="3">
        <v>521.0</v>
      </c>
      <c r="H524" s="3" t="str">
        <f>VLOOKUP(B524,'Currency Table'!$M$3:$N$6,2, FALSE)</f>
        <v>GBP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5.75" hidden="1" customHeight="1">
      <c r="A525" s="3" t="s">
        <v>213</v>
      </c>
      <c r="B525" s="3" t="s">
        <v>128</v>
      </c>
      <c r="C525" s="3" t="s">
        <v>135</v>
      </c>
      <c r="D525" s="4">
        <v>45670.0</v>
      </c>
      <c r="E525" s="3">
        <v>21.0</v>
      </c>
      <c r="F525" s="5">
        <v>5.0</v>
      </c>
      <c r="G525" s="3">
        <v>347.0</v>
      </c>
      <c r="H525" s="3" t="str">
        <f>VLOOKUP(B525,'Currency Table'!$M$3:$N$6,2, FALSE)</f>
        <v>GBP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5.75" hidden="1" customHeight="1">
      <c r="A526" s="3" t="s">
        <v>177</v>
      </c>
      <c r="B526" s="3" t="s">
        <v>128</v>
      </c>
      <c r="C526" s="3" t="s">
        <v>129</v>
      </c>
      <c r="D526" s="4">
        <v>45670.0</v>
      </c>
      <c r="E526" s="3">
        <v>51.0</v>
      </c>
      <c r="F526" s="5">
        <v>1.0</v>
      </c>
      <c r="G526" s="3">
        <v>776.0</v>
      </c>
      <c r="H526" s="3" t="str">
        <f>VLOOKUP(B526,'Currency Table'!$M$3:$N$6,2, FALSE)</f>
        <v>GBP</v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5.75" hidden="1" customHeight="1">
      <c r="A527" s="3" t="s">
        <v>161</v>
      </c>
      <c r="B527" s="3" t="s">
        <v>128</v>
      </c>
      <c r="C527" s="3" t="s">
        <v>131</v>
      </c>
      <c r="D527" s="4">
        <v>45670.0</v>
      </c>
      <c r="E527" s="3">
        <v>24.0</v>
      </c>
      <c r="F527" s="5">
        <v>4.0</v>
      </c>
      <c r="G527" s="3">
        <v>426.0</v>
      </c>
      <c r="H527" s="3" t="str">
        <f>VLOOKUP(B527,'Currency Table'!$M$3:$N$6,2, FALSE)</f>
        <v>GBP</v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5.75" hidden="1" customHeight="1">
      <c r="A528" s="3" t="s">
        <v>162</v>
      </c>
      <c r="B528" s="3" t="s">
        <v>128</v>
      </c>
      <c r="C528" s="3" t="s">
        <v>131</v>
      </c>
      <c r="D528" s="4">
        <v>45670.0</v>
      </c>
      <c r="E528" s="3">
        <v>33.0</v>
      </c>
      <c r="F528" s="5">
        <v>3.0</v>
      </c>
      <c r="G528" s="3">
        <v>609.0</v>
      </c>
      <c r="H528" s="3" t="str">
        <f>VLOOKUP(B528,'Currency Table'!$M$3:$N$6,2, FALSE)</f>
        <v>GBP</v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5.75" hidden="1" customHeight="1">
      <c r="A529" s="3" t="s">
        <v>191</v>
      </c>
      <c r="B529" s="3" t="s">
        <v>128</v>
      </c>
      <c r="C529" s="3" t="s">
        <v>133</v>
      </c>
      <c r="D529" s="4">
        <v>45670.0</v>
      </c>
      <c r="E529" s="3">
        <v>13.0</v>
      </c>
      <c r="F529" s="5">
        <v>4.0</v>
      </c>
      <c r="G529" s="3">
        <v>164.0</v>
      </c>
      <c r="H529" s="3" t="str">
        <f>VLOOKUP(B529,'Currency Table'!$M$3:$N$6,2, FALSE)</f>
        <v>GBP</v>
      </c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5.75" hidden="1" customHeight="1">
      <c r="A530" s="3" t="s">
        <v>204</v>
      </c>
      <c r="B530" s="3" t="s">
        <v>128</v>
      </c>
      <c r="C530" s="3" t="s">
        <v>133</v>
      </c>
      <c r="D530" s="4">
        <v>45670.0</v>
      </c>
      <c r="E530" s="3">
        <v>13.0</v>
      </c>
      <c r="F530" s="5">
        <v>3.0</v>
      </c>
      <c r="G530" s="3">
        <v>233.0</v>
      </c>
      <c r="H530" s="3" t="str">
        <f>VLOOKUP(B530,'Currency Table'!$M$3:$N$6,2, FALSE)</f>
        <v>GBP</v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5.75" hidden="1" customHeight="1">
      <c r="A531" s="3" t="s">
        <v>182</v>
      </c>
      <c r="B531" s="3" t="s">
        <v>128</v>
      </c>
      <c r="C531" s="3" t="s">
        <v>135</v>
      </c>
      <c r="D531" s="4">
        <v>45670.0</v>
      </c>
      <c r="E531" s="3">
        <v>51.0</v>
      </c>
      <c r="F531" s="5">
        <v>0.0</v>
      </c>
      <c r="G531" s="3">
        <v>828.0</v>
      </c>
      <c r="H531" s="3" t="str">
        <f>VLOOKUP(B531,'Currency Table'!$M$3:$N$6,2, FALSE)</f>
        <v>GBP</v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5.75" hidden="1" customHeight="1">
      <c r="A532" s="3" t="s">
        <v>214</v>
      </c>
      <c r="B532" s="3" t="s">
        <v>128</v>
      </c>
      <c r="C532" s="3" t="s">
        <v>131</v>
      </c>
      <c r="D532" s="4">
        <v>45670.0</v>
      </c>
      <c r="E532" s="3">
        <v>54.0</v>
      </c>
      <c r="F532" s="5">
        <v>5.0</v>
      </c>
      <c r="G532" s="3">
        <v>899.0</v>
      </c>
      <c r="H532" s="3" t="str">
        <f>VLOOKUP(B532,'Currency Table'!$M$3:$N$6,2, FALSE)</f>
        <v>GBP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5.75" hidden="1" customHeight="1">
      <c r="A533" s="3" t="s">
        <v>190</v>
      </c>
      <c r="B533" s="3" t="s">
        <v>128</v>
      </c>
      <c r="C533" s="3" t="s">
        <v>145</v>
      </c>
      <c r="D533" s="4">
        <v>45670.0</v>
      </c>
      <c r="E533" s="3">
        <v>60.0</v>
      </c>
      <c r="F533" s="5">
        <v>2.0</v>
      </c>
      <c r="G533" s="3">
        <v>824.0</v>
      </c>
      <c r="H533" s="3" t="str">
        <f>VLOOKUP(B533,'Currency Table'!$M$3:$N$6,2, FALSE)</f>
        <v>GBP</v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5.75" hidden="1" customHeight="1">
      <c r="A534" s="3" t="s">
        <v>184</v>
      </c>
      <c r="B534" s="3" t="s">
        <v>128</v>
      </c>
      <c r="C534" s="3" t="s">
        <v>135</v>
      </c>
      <c r="D534" s="4">
        <v>45670.0</v>
      </c>
      <c r="E534" s="3">
        <v>25.0</v>
      </c>
      <c r="F534" s="5">
        <v>3.0</v>
      </c>
      <c r="G534" s="3">
        <v>319.0</v>
      </c>
      <c r="H534" s="3" t="str">
        <f>VLOOKUP(B534,'Currency Table'!$M$3:$N$6,2, FALSE)</f>
        <v>GBP</v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5.75" hidden="1" customHeight="1">
      <c r="A535" s="3" t="s">
        <v>215</v>
      </c>
      <c r="B535" s="3" t="s">
        <v>128</v>
      </c>
      <c r="C535" s="3" t="s">
        <v>145</v>
      </c>
      <c r="D535" s="4">
        <v>45670.0</v>
      </c>
      <c r="E535" s="3">
        <v>28.0</v>
      </c>
      <c r="F535" s="5">
        <v>5.0</v>
      </c>
      <c r="G535" s="3">
        <v>254.0</v>
      </c>
      <c r="H535" s="3" t="str">
        <f>VLOOKUP(B535,'Currency Table'!$M$3:$N$6,2, FALSE)</f>
        <v>GBP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5.75" hidden="1" customHeight="1">
      <c r="A536" s="3" t="s">
        <v>200</v>
      </c>
      <c r="B536" s="3" t="s">
        <v>128</v>
      </c>
      <c r="C536" s="3" t="s">
        <v>135</v>
      </c>
      <c r="D536" s="4">
        <v>45670.0</v>
      </c>
      <c r="E536" s="3">
        <v>34.0</v>
      </c>
      <c r="F536" s="5">
        <v>3.0</v>
      </c>
      <c r="G536" s="3">
        <v>611.0</v>
      </c>
      <c r="H536" s="3" t="str">
        <f>VLOOKUP(B536,'Currency Table'!$M$3:$N$6,2, FALSE)</f>
        <v>GBP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5.75" hidden="1" customHeight="1">
      <c r="A537" s="3" t="s">
        <v>187</v>
      </c>
      <c r="B537" s="3" t="s">
        <v>128</v>
      </c>
      <c r="C537" s="3" t="s">
        <v>129</v>
      </c>
      <c r="D537" s="4">
        <v>45670.0</v>
      </c>
      <c r="E537" s="3">
        <v>61.0</v>
      </c>
      <c r="F537" s="5">
        <v>3.0</v>
      </c>
      <c r="G537" s="3">
        <v>958.0</v>
      </c>
      <c r="H537" s="3" t="str">
        <f>VLOOKUP(B537,'Currency Table'!$M$3:$N$6,2, FALSE)</f>
        <v>GBP</v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5.75" hidden="1" customHeight="1">
      <c r="A538" s="3" t="s">
        <v>172</v>
      </c>
      <c r="B538" s="3" t="s">
        <v>128</v>
      </c>
      <c r="C538" s="3" t="s">
        <v>137</v>
      </c>
      <c r="D538" s="4">
        <v>45670.0</v>
      </c>
      <c r="E538" s="3">
        <v>24.0</v>
      </c>
      <c r="F538" s="5">
        <v>4.0</v>
      </c>
      <c r="G538" s="3">
        <v>404.0</v>
      </c>
      <c r="H538" s="3" t="str">
        <f>VLOOKUP(B538,'Currency Table'!$M$3:$N$6,2, FALSE)</f>
        <v>GBP</v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5.75" hidden="1" customHeight="1">
      <c r="A539" s="3" t="s">
        <v>216</v>
      </c>
      <c r="B539" s="3" t="s">
        <v>128</v>
      </c>
      <c r="C539" s="3" t="s">
        <v>145</v>
      </c>
      <c r="D539" s="4">
        <v>45670.0</v>
      </c>
      <c r="E539" s="3">
        <v>17.0</v>
      </c>
      <c r="F539" s="5">
        <v>3.0</v>
      </c>
      <c r="G539" s="3">
        <v>461.0</v>
      </c>
      <c r="H539" s="3" t="str">
        <f>VLOOKUP(B539,'Currency Table'!$M$3:$N$6,2, FALSE)</f>
        <v>GBP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5.75" hidden="1" customHeight="1">
      <c r="A540" s="3" t="s">
        <v>206</v>
      </c>
      <c r="B540" s="3" t="s">
        <v>128</v>
      </c>
      <c r="C540" s="3" t="s">
        <v>133</v>
      </c>
      <c r="D540" s="4">
        <v>45670.0</v>
      </c>
      <c r="E540" s="3">
        <v>19.0</v>
      </c>
      <c r="F540" s="5">
        <v>3.0</v>
      </c>
      <c r="G540" s="3">
        <v>457.0</v>
      </c>
      <c r="H540" s="3" t="str">
        <f>VLOOKUP(B540,'Currency Table'!$M$3:$N$6,2, FALSE)</f>
        <v>GBP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5.75" hidden="1" customHeight="1">
      <c r="A541" s="3" t="s">
        <v>207</v>
      </c>
      <c r="B541" s="3" t="s">
        <v>128</v>
      </c>
      <c r="C541" s="3" t="s">
        <v>133</v>
      </c>
      <c r="D541" s="4">
        <v>45670.0</v>
      </c>
      <c r="E541" s="3">
        <v>17.0</v>
      </c>
      <c r="F541" s="5">
        <v>0.0</v>
      </c>
      <c r="G541" s="3">
        <v>261.0</v>
      </c>
      <c r="H541" s="3" t="str">
        <f>VLOOKUP(B541,'Currency Table'!$M$3:$N$6,2, FALSE)</f>
        <v>GBP</v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5.75" hidden="1" customHeight="1">
      <c r="A542" s="3" t="s">
        <v>189</v>
      </c>
      <c r="B542" s="3" t="s">
        <v>128</v>
      </c>
      <c r="C542" s="3" t="s">
        <v>129</v>
      </c>
      <c r="D542" s="4">
        <v>45670.0</v>
      </c>
      <c r="E542" s="3">
        <v>68.0</v>
      </c>
      <c r="F542" s="5">
        <v>4.0</v>
      </c>
      <c r="G542" s="3">
        <v>1037.0</v>
      </c>
      <c r="H542" s="3" t="str">
        <f>VLOOKUP(B542,'Currency Table'!$M$3:$N$6,2, FALSE)</f>
        <v>GBP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5.75" hidden="1" customHeight="1">
      <c r="A543" s="3" t="s">
        <v>217</v>
      </c>
      <c r="B543" s="3" t="s">
        <v>128</v>
      </c>
      <c r="C543" s="3" t="s">
        <v>135</v>
      </c>
      <c r="D543" s="4">
        <v>45670.0</v>
      </c>
      <c r="E543" s="3">
        <v>27.0</v>
      </c>
      <c r="F543" s="5">
        <v>4.0</v>
      </c>
      <c r="G543" s="3">
        <v>416.0</v>
      </c>
      <c r="H543" s="3" t="str">
        <f>VLOOKUP(B543,'Currency Table'!$M$3:$N$6,2, FALSE)</f>
        <v>GBP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5.75" hidden="1" customHeight="1">
      <c r="A544" s="3" t="s">
        <v>192</v>
      </c>
      <c r="B544" s="3" t="s">
        <v>128</v>
      </c>
      <c r="C544" s="3" t="s">
        <v>131</v>
      </c>
      <c r="D544" s="4">
        <v>45670.0</v>
      </c>
      <c r="E544" s="3">
        <v>16.0</v>
      </c>
      <c r="F544" s="5">
        <v>1.0</v>
      </c>
      <c r="G544" s="3">
        <v>398.0</v>
      </c>
      <c r="H544" s="3" t="str">
        <f>VLOOKUP(B544,'Currency Table'!$M$3:$N$6,2, FALSE)</f>
        <v>GBP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5.75" hidden="1" customHeight="1">
      <c r="A545" s="3" t="s">
        <v>218</v>
      </c>
      <c r="B545" s="3" t="s">
        <v>128</v>
      </c>
      <c r="C545" s="3" t="s">
        <v>129</v>
      </c>
      <c r="D545" s="4">
        <v>45670.0</v>
      </c>
      <c r="E545" s="3">
        <v>24.0</v>
      </c>
      <c r="F545" s="5">
        <v>3.0</v>
      </c>
      <c r="G545" s="3">
        <v>353.0</v>
      </c>
      <c r="H545" s="3" t="str">
        <f>VLOOKUP(B545,'Currency Table'!$M$3:$N$6,2, FALSE)</f>
        <v>GBP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5.75" hidden="1" customHeight="1">
      <c r="A546" s="3" t="s">
        <v>180</v>
      </c>
      <c r="B546" s="3" t="s">
        <v>128</v>
      </c>
      <c r="C546" s="3" t="s">
        <v>137</v>
      </c>
      <c r="D546" s="4">
        <v>45670.0</v>
      </c>
      <c r="E546" s="3">
        <v>50.0</v>
      </c>
      <c r="F546" s="5">
        <v>4.0</v>
      </c>
      <c r="G546" s="3">
        <v>875.0</v>
      </c>
      <c r="H546" s="3" t="str">
        <f>VLOOKUP(B546,'Currency Table'!$M$3:$N$6,2, FALSE)</f>
        <v>GBP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5.75" hidden="1" customHeight="1">
      <c r="A547" s="3" t="s">
        <v>219</v>
      </c>
      <c r="B547" s="3" t="s">
        <v>128</v>
      </c>
      <c r="C547" s="3" t="s">
        <v>131</v>
      </c>
      <c r="D547" s="4">
        <v>45670.0</v>
      </c>
      <c r="E547" s="3">
        <v>53.0</v>
      </c>
      <c r="F547" s="5">
        <v>0.0</v>
      </c>
      <c r="G547" s="3">
        <v>883.0</v>
      </c>
      <c r="H547" s="3" t="str">
        <f>VLOOKUP(B547,'Currency Table'!$M$3:$N$6,2, FALSE)</f>
        <v>GBP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5.75" hidden="1" customHeight="1">
      <c r="A548" s="3" t="s">
        <v>183</v>
      </c>
      <c r="B548" s="3" t="s">
        <v>128</v>
      </c>
      <c r="C548" s="3" t="s">
        <v>137</v>
      </c>
      <c r="D548" s="4">
        <v>45670.0</v>
      </c>
      <c r="E548" s="3">
        <v>57.0</v>
      </c>
      <c r="F548" s="5">
        <v>4.0</v>
      </c>
      <c r="G548" s="3">
        <v>885.0</v>
      </c>
      <c r="H548" s="3" t="str">
        <f>VLOOKUP(B548,'Currency Table'!$M$3:$N$6,2, FALSE)</f>
        <v>GBP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5.75" hidden="1" customHeight="1">
      <c r="A549" s="3" t="s">
        <v>199</v>
      </c>
      <c r="B549" s="3" t="s">
        <v>128</v>
      </c>
      <c r="C549" s="3" t="s">
        <v>129</v>
      </c>
      <c r="D549" s="4">
        <v>45670.0</v>
      </c>
      <c r="E549" s="3">
        <v>20.0</v>
      </c>
      <c r="F549" s="5">
        <v>2.0</v>
      </c>
      <c r="G549" s="3">
        <v>403.0</v>
      </c>
      <c r="H549" s="3" t="str">
        <f>VLOOKUP(B549,'Currency Table'!$M$3:$N$6,2, FALSE)</f>
        <v>GBP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5.75" hidden="1" customHeight="1">
      <c r="A550" s="3" t="s">
        <v>220</v>
      </c>
      <c r="B550" s="3" t="s">
        <v>128</v>
      </c>
      <c r="C550" s="3" t="s">
        <v>129</v>
      </c>
      <c r="D550" s="4">
        <v>45670.0</v>
      </c>
      <c r="E550" s="3">
        <v>42.0</v>
      </c>
      <c r="F550" s="5">
        <v>2.0</v>
      </c>
      <c r="G550" s="3">
        <v>633.0</v>
      </c>
      <c r="H550" s="3" t="str">
        <f>VLOOKUP(B550,'Currency Table'!$M$3:$N$6,2, FALSE)</f>
        <v>GBP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5.75" hidden="1" customHeight="1">
      <c r="A551" s="3" t="s">
        <v>221</v>
      </c>
      <c r="B551" s="3" t="s">
        <v>128</v>
      </c>
      <c r="C551" s="3" t="s">
        <v>135</v>
      </c>
      <c r="D551" s="4">
        <v>45670.0</v>
      </c>
      <c r="E551" s="3">
        <v>13.0</v>
      </c>
      <c r="F551" s="5">
        <v>5.0</v>
      </c>
      <c r="G551" s="3">
        <v>192.0</v>
      </c>
      <c r="H551" s="3" t="str">
        <f>VLOOKUP(B551,'Currency Table'!$M$3:$N$6,2, FALSE)</f>
        <v>GBP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5.75" hidden="1" customHeight="1">
      <c r="A552" s="3" t="s">
        <v>208</v>
      </c>
      <c r="B552" s="3" t="s">
        <v>128</v>
      </c>
      <c r="C552" s="3" t="s">
        <v>133</v>
      </c>
      <c r="D552" s="4">
        <v>45670.0</v>
      </c>
      <c r="E552" s="3">
        <v>42.0</v>
      </c>
      <c r="F552" s="5">
        <v>0.0</v>
      </c>
      <c r="G552" s="3">
        <v>556.0</v>
      </c>
      <c r="H552" s="3" t="str">
        <f>VLOOKUP(B552,'Currency Table'!$M$3:$N$6,2, FALSE)</f>
        <v>GBP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5.75" hidden="1" customHeight="1">
      <c r="A553" s="3" t="s">
        <v>202</v>
      </c>
      <c r="B553" s="3" t="s">
        <v>128</v>
      </c>
      <c r="C553" s="3" t="s">
        <v>131</v>
      </c>
      <c r="D553" s="4">
        <v>45670.0</v>
      </c>
      <c r="E553" s="3">
        <v>10.0</v>
      </c>
      <c r="F553" s="5">
        <v>2.0</v>
      </c>
      <c r="G553" s="3">
        <v>248.0</v>
      </c>
      <c r="H553" s="3" t="str">
        <f>VLOOKUP(B553,'Currency Table'!$M$3:$N$6,2, FALSE)</f>
        <v>GBP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5.75" hidden="1" customHeight="1">
      <c r="A554" s="3" t="s">
        <v>222</v>
      </c>
      <c r="B554" s="3" t="s">
        <v>128</v>
      </c>
      <c r="C554" s="3" t="s">
        <v>145</v>
      </c>
      <c r="D554" s="4">
        <v>45670.0</v>
      </c>
      <c r="E554" s="3">
        <v>69.0</v>
      </c>
      <c r="F554" s="5">
        <v>1.0</v>
      </c>
      <c r="G554" s="3">
        <v>1036.0</v>
      </c>
      <c r="H554" s="3" t="str">
        <f>VLOOKUP(B554,'Currency Table'!$M$3:$N$6,2, FALSE)</f>
        <v>GBP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5.75" hidden="1" customHeight="1">
      <c r="A555" s="3" t="s">
        <v>205</v>
      </c>
      <c r="B555" s="3" t="s">
        <v>128</v>
      </c>
      <c r="C555" s="3" t="s">
        <v>131</v>
      </c>
      <c r="D555" s="4">
        <v>45670.0</v>
      </c>
      <c r="E555" s="3">
        <v>63.0</v>
      </c>
      <c r="F555" s="5">
        <v>1.0</v>
      </c>
      <c r="G555" s="3">
        <v>1002.0</v>
      </c>
      <c r="H555" s="3" t="str">
        <f>VLOOKUP(B555,'Currency Table'!$M$3:$N$6,2, FALSE)</f>
        <v>GBP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5.75" hidden="1" customHeight="1">
      <c r="A556" s="3" t="s">
        <v>223</v>
      </c>
      <c r="B556" s="3" t="s">
        <v>128</v>
      </c>
      <c r="C556" s="3" t="s">
        <v>135</v>
      </c>
      <c r="D556" s="4">
        <v>45677.0</v>
      </c>
      <c r="E556" s="3">
        <v>61.0</v>
      </c>
      <c r="F556" s="5">
        <v>2.0</v>
      </c>
      <c r="G556" s="3">
        <v>976.0</v>
      </c>
      <c r="H556" s="3" t="str">
        <f>VLOOKUP(B556,'Currency Table'!$M$3:$N$6,2, FALSE)</f>
        <v>GBP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5.75" hidden="1" customHeight="1">
      <c r="A557" s="3" t="s">
        <v>138</v>
      </c>
      <c r="B557" s="3" t="s">
        <v>128</v>
      </c>
      <c r="C557" s="3" t="s">
        <v>135</v>
      </c>
      <c r="D557" s="4">
        <v>45677.0</v>
      </c>
      <c r="E557" s="3">
        <v>33.0</v>
      </c>
      <c r="F557" s="5">
        <v>2.0</v>
      </c>
      <c r="G557" s="3">
        <v>652.0</v>
      </c>
      <c r="H557" s="3" t="str">
        <f>VLOOKUP(B557,'Currency Table'!$M$3:$N$6,2, FALSE)</f>
        <v>GBP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5.75" hidden="1" customHeight="1">
      <c r="A558" s="3" t="s">
        <v>132</v>
      </c>
      <c r="B558" s="3" t="s">
        <v>128</v>
      </c>
      <c r="C558" s="3" t="s">
        <v>133</v>
      </c>
      <c r="D558" s="4">
        <v>45677.0</v>
      </c>
      <c r="E558" s="3">
        <v>22.0</v>
      </c>
      <c r="F558" s="5">
        <v>0.0</v>
      </c>
      <c r="G558" s="3">
        <v>309.0</v>
      </c>
      <c r="H558" s="3" t="str">
        <f>VLOOKUP(B558,'Currency Table'!$M$3:$N$6,2, FALSE)</f>
        <v>GBP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5.75" hidden="1" customHeight="1">
      <c r="A559" s="3" t="s">
        <v>156</v>
      </c>
      <c r="B559" s="3" t="s">
        <v>128</v>
      </c>
      <c r="C559" s="3" t="s">
        <v>133</v>
      </c>
      <c r="D559" s="4">
        <v>45677.0</v>
      </c>
      <c r="E559" s="3">
        <v>23.0</v>
      </c>
      <c r="F559" s="5">
        <v>3.0</v>
      </c>
      <c r="G559" s="3">
        <v>411.0</v>
      </c>
      <c r="H559" s="3" t="str">
        <f>VLOOKUP(B559,'Currency Table'!$M$3:$N$6,2, FALSE)</f>
        <v>GBP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5.75" hidden="1" customHeight="1">
      <c r="A560" s="3" t="s">
        <v>139</v>
      </c>
      <c r="B560" s="3" t="s">
        <v>128</v>
      </c>
      <c r="C560" s="3" t="s">
        <v>135</v>
      </c>
      <c r="D560" s="4">
        <v>45677.0</v>
      </c>
      <c r="E560" s="3">
        <v>37.0</v>
      </c>
      <c r="F560" s="5">
        <v>2.0</v>
      </c>
      <c r="G560" s="3">
        <v>510.0</v>
      </c>
      <c r="H560" s="3" t="str">
        <f>VLOOKUP(B560,'Currency Table'!$M$3:$N$6,2, FALSE)</f>
        <v>GBP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5.75" hidden="1" customHeight="1">
      <c r="A561" s="3" t="s">
        <v>149</v>
      </c>
      <c r="B561" s="3" t="s">
        <v>128</v>
      </c>
      <c r="C561" s="3" t="s">
        <v>135</v>
      </c>
      <c r="D561" s="4">
        <v>45677.0</v>
      </c>
      <c r="E561" s="3">
        <v>11.0</v>
      </c>
      <c r="F561" s="5">
        <v>2.0</v>
      </c>
      <c r="G561" s="3">
        <v>175.0</v>
      </c>
      <c r="H561" s="3" t="str">
        <f>VLOOKUP(B561,'Currency Table'!$M$3:$N$6,2, FALSE)</f>
        <v>GBP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5.75" hidden="1" customHeight="1">
      <c r="A562" s="3" t="s">
        <v>224</v>
      </c>
      <c r="B562" s="3" t="s">
        <v>128</v>
      </c>
      <c r="C562" s="3" t="s">
        <v>129</v>
      </c>
      <c r="D562" s="4">
        <v>45677.0</v>
      </c>
      <c r="E562" s="3">
        <v>70.0</v>
      </c>
      <c r="F562" s="5">
        <v>3.0</v>
      </c>
      <c r="G562" s="3">
        <v>940.0</v>
      </c>
      <c r="H562" s="3" t="str">
        <f>VLOOKUP(B562,'Currency Table'!$M$3:$N$6,2, FALSE)</f>
        <v>GBP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5.75" hidden="1" customHeight="1">
      <c r="A563" s="3" t="s">
        <v>155</v>
      </c>
      <c r="B563" s="3" t="s">
        <v>128</v>
      </c>
      <c r="C563" s="3" t="s">
        <v>135</v>
      </c>
      <c r="D563" s="4">
        <v>45677.0</v>
      </c>
      <c r="E563" s="3">
        <v>70.0</v>
      </c>
      <c r="F563" s="5">
        <v>3.0</v>
      </c>
      <c r="G563" s="3">
        <v>927.0</v>
      </c>
      <c r="H563" s="3" t="str">
        <f>VLOOKUP(B563,'Currency Table'!$M$3:$N$6,2, FALSE)</f>
        <v>GBP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5.75" hidden="1" customHeight="1">
      <c r="A564" s="3" t="s">
        <v>140</v>
      </c>
      <c r="B564" s="3" t="s">
        <v>128</v>
      </c>
      <c r="C564" s="3" t="s">
        <v>137</v>
      </c>
      <c r="D564" s="4">
        <v>45677.0</v>
      </c>
      <c r="E564" s="3">
        <v>68.0</v>
      </c>
      <c r="F564" s="5">
        <v>3.0</v>
      </c>
      <c r="G564" s="3">
        <v>980.0</v>
      </c>
      <c r="H564" s="3" t="str">
        <f>VLOOKUP(B564,'Currency Table'!$M$3:$N$6,2, FALSE)</f>
        <v>GBP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5.75" hidden="1" customHeight="1">
      <c r="A565" s="3" t="s">
        <v>225</v>
      </c>
      <c r="B565" s="3" t="s">
        <v>128</v>
      </c>
      <c r="C565" s="3" t="s">
        <v>133</v>
      </c>
      <c r="D565" s="4">
        <v>45677.0</v>
      </c>
      <c r="E565" s="3">
        <v>37.0</v>
      </c>
      <c r="F565" s="5">
        <v>0.0</v>
      </c>
      <c r="G565" s="3">
        <v>648.0</v>
      </c>
      <c r="H565" s="3" t="str">
        <f>VLOOKUP(B565,'Currency Table'!$M$3:$N$6,2, FALSE)</f>
        <v>GBP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5.75" hidden="1" customHeight="1">
      <c r="A566" s="3" t="s">
        <v>167</v>
      </c>
      <c r="B566" s="3" t="s">
        <v>128</v>
      </c>
      <c r="C566" s="3" t="s">
        <v>135</v>
      </c>
      <c r="D566" s="4">
        <v>45677.0</v>
      </c>
      <c r="E566" s="3">
        <v>20.0</v>
      </c>
      <c r="F566" s="5">
        <v>3.0</v>
      </c>
      <c r="G566" s="3">
        <v>497.0</v>
      </c>
      <c r="H566" s="3" t="str">
        <f>VLOOKUP(B566,'Currency Table'!$M$3:$N$6,2, FALSE)</f>
        <v>GBP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5.75" hidden="1" customHeight="1">
      <c r="A567" s="3" t="s">
        <v>168</v>
      </c>
      <c r="B567" s="3" t="s">
        <v>128</v>
      </c>
      <c r="C567" s="3" t="s">
        <v>135</v>
      </c>
      <c r="D567" s="4">
        <v>45677.0</v>
      </c>
      <c r="E567" s="3">
        <v>62.0</v>
      </c>
      <c r="F567" s="5">
        <v>2.0</v>
      </c>
      <c r="G567" s="3">
        <v>999.0</v>
      </c>
      <c r="H567" s="3" t="str">
        <f>VLOOKUP(B567,'Currency Table'!$M$3:$N$6,2, FALSE)</f>
        <v>GBP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5.75" hidden="1" customHeight="1">
      <c r="A568" s="3" t="s">
        <v>141</v>
      </c>
      <c r="B568" s="3" t="s">
        <v>128</v>
      </c>
      <c r="C568" s="3" t="s">
        <v>129</v>
      </c>
      <c r="D568" s="4">
        <v>45677.0</v>
      </c>
      <c r="E568" s="3">
        <v>15.0</v>
      </c>
      <c r="F568" s="5">
        <v>4.0</v>
      </c>
      <c r="G568" s="3">
        <v>203.0</v>
      </c>
      <c r="H568" s="3" t="str">
        <f>VLOOKUP(B568,'Currency Table'!$M$3:$N$6,2, FALSE)</f>
        <v>GBP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5.75" hidden="1" customHeight="1">
      <c r="A569" s="3" t="s">
        <v>148</v>
      </c>
      <c r="B569" s="3" t="s">
        <v>128</v>
      </c>
      <c r="C569" s="3" t="s">
        <v>137</v>
      </c>
      <c r="D569" s="4">
        <v>45677.0</v>
      </c>
      <c r="E569" s="3">
        <v>63.0</v>
      </c>
      <c r="F569" s="5">
        <v>1.0</v>
      </c>
      <c r="G569" s="3">
        <v>920.0</v>
      </c>
      <c r="H569" s="3" t="str">
        <f>VLOOKUP(B569,'Currency Table'!$M$3:$N$6,2, FALSE)</f>
        <v>GBP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5.75" hidden="1" customHeight="1">
      <c r="A570" s="3" t="s">
        <v>173</v>
      </c>
      <c r="B570" s="3" t="s">
        <v>128</v>
      </c>
      <c r="C570" s="3" t="s">
        <v>135</v>
      </c>
      <c r="D570" s="4">
        <v>45677.0</v>
      </c>
      <c r="E570" s="3">
        <v>26.0</v>
      </c>
      <c r="F570" s="5">
        <v>1.0</v>
      </c>
      <c r="G570" s="3">
        <v>404.0</v>
      </c>
      <c r="H570" s="3" t="str">
        <f>VLOOKUP(B570,'Currency Table'!$M$3:$N$6,2, FALSE)</f>
        <v>GBP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5.75" hidden="1" customHeight="1">
      <c r="A571" s="3" t="s">
        <v>178</v>
      </c>
      <c r="B571" s="3" t="s">
        <v>128</v>
      </c>
      <c r="C571" s="3" t="s">
        <v>135</v>
      </c>
      <c r="D571" s="4">
        <v>45677.0</v>
      </c>
      <c r="E571" s="3">
        <v>45.0</v>
      </c>
      <c r="F571" s="5">
        <v>0.0</v>
      </c>
      <c r="G571" s="3">
        <v>510.0</v>
      </c>
      <c r="H571" s="3" t="str">
        <f>VLOOKUP(B571,'Currency Table'!$M$3:$N$6,2, FALSE)</f>
        <v>GBP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5.75" hidden="1" customHeight="1">
      <c r="A572" s="3" t="s">
        <v>142</v>
      </c>
      <c r="B572" s="3" t="s">
        <v>128</v>
      </c>
      <c r="C572" s="3" t="s">
        <v>131</v>
      </c>
      <c r="D572" s="4">
        <v>45677.0</v>
      </c>
      <c r="E572" s="3">
        <v>58.0</v>
      </c>
      <c r="F572" s="5">
        <v>3.0</v>
      </c>
      <c r="G572" s="3">
        <v>704.0</v>
      </c>
      <c r="H572" s="3" t="str">
        <f>VLOOKUP(B572,'Currency Table'!$M$3:$N$6,2, FALSE)</f>
        <v>GBP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5.75" hidden="1" customHeight="1">
      <c r="A573" s="3" t="s">
        <v>144</v>
      </c>
      <c r="B573" s="3" t="s">
        <v>128</v>
      </c>
      <c r="C573" s="3" t="s">
        <v>145</v>
      </c>
      <c r="D573" s="4">
        <v>45677.0</v>
      </c>
      <c r="E573" s="3">
        <v>63.0</v>
      </c>
      <c r="F573" s="5">
        <v>4.0</v>
      </c>
      <c r="G573" s="3">
        <v>964.0</v>
      </c>
      <c r="H573" s="3" t="str">
        <f>VLOOKUP(B573,'Currency Table'!$M$3:$N$6,2, FALSE)</f>
        <v>GBP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5.75" hidden="1" customHeight="1">
      <c r="A574" s="3" t="s">
        <v>182</v>
      </c>
      <c r="B574" s="3" t="s">
        <v>128</v>
      </c>
      <c r="C574" s="3" t="s">
        <v>135</v>
      </c>
      <c r="D574" s="4">
        <v>45677.0</v>
      </c>
      <c r="E574" s="3">
        <v>53.0</v>
      </c>
      <c r="F574" s="5">
        <v>0.0</v>
      </c>
      <c r="G574" s="3">
        <v>725.0</v>
      </c>
      <c r="H574" s="3" t="str">
        <f>VLOOKUP(B574,'Currency Table'!$M$3:$N$6,2, FALSE)</f>
        <v>GBP</v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5.75" hidden="1" customHeight="1">
      <c r="A575" s="3" t="s">
        <v>153</v>
      </c>
      <c r="B575" s="3" t="s">
        <v>128</v>
      </c>
      <c r="C575" s="3" t="s">
        <v>137</v>
      </c>
      <c r="D575" s="4">
        <v>45677.0</v>
      </c>
      <c r="E575" s="3">
        <v>56.0</v>
      </c>
      <c r="F575" s="5">
        <v>5.0</v>
      </c>
      <c r="G575" s="3">
        <v>706.0</v>
      </c>
      <c r="H575" s="3" t="str">
        <f>VLOOKUP(B575,'Currency Table'!$M$3:$N$6,2, FALSE)</f>
        <v>GBP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5.75" hidden="1" customHeight="1">
      <c r="A576" s="3" t="s">
        <v>226</v>
      </c>
      <c r="B576" s="3" t="s">
        <v>128</v>
      </c>
      <c r="C576" s="3" t="s">
        <v>137</v>
      </c>
      <c r="D576" s="4">
        <v>45677.0</v>
      </c>
      <c r="E576" s="3">
        <v>12.0</v>
      </c>
      <c r="F576" s="5">
        <v>4.0</v>
      </c>
      <c r="G576" s="3">
        <v>194.0</v>
      </c>
      <c r="H576" s="3" t="str">
        <f>VLOOKUP(B576,'Currency Table'!$M$3:$N$6,2, FALSE)</f>
        <v>GBP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5.75" hidden="1" customHeight="1">
      <c r="A577" s="3" t="s">
        <v>227</v>
      </c>
      <c r="B577" s="3" t="s">
        <v>128</v>
      </c>
      <c r="C577" s="3" t="s">
        <v>133</v>
      </c>
      <c r="D577" s="4">
        <v>45677.0</v>
      </c>
      <c r="E577" s="3">
        <v>49.0</v>
      </c>
      <c r="F577" s="5">
        <v>4.0</v>
      </c>
      <c r="G577" s="3">
        <v>817.0</v>
      </c>
      <c r="H577" s="3" t="str">
        <f>VLOOKUP(B577,'Currency Table'!$M$3:$N$6,2, FALSE)</f>
        <v>GBP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5.75" hidden="1" customHeight="1">
      <c r="A578" s="3" t="s">
        <v>184</v>
      </c>
      <c r="B578" s="3" t="s">
        <v>128</v>
      </c>
      <c r="C578" s="3" t="s">
        <v>135</v>
      </c>
      <c r="D578" s="4">
        <v>45677.0</v>
      </c>
      <c r="E578" s="3">
        <v>43.0</v>
      </c>
      <c r="F578" s="5">
        <v>4.0</v>
      </c>
      <c r="G578" s="3">
        <v>556.0</v>
      </c>
      <c r="H578" s="3" t="str">
        <f>VLOOKUP(B578,'Currency Table'!$M$3:$N$6,2, FALSE)</f>
        <v>GBP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5.75" hidden="1" customHeight="1">
      <c r="A579" s="3" t="s">
        <v>147</v>
      </c>
      <c r="B579" s="3" t="s">
        <v>128</v>
      </c>
      <c r="C579" s="3" t="s">
        <v>131</v>
      </c>
      <c r="D579" s="4">
        <v>45677.0</v>
      </c>
      <c r="E579" s="3">
        <v>55.0</v>
      </c>
      <c r="F579" s="5">
        <v>1.0</v>
      </c>
      <c r="G579" s="3">
        <v>840.0</v>
      </c>
      <c r="H579" s="3" t="str">
        <f>VLOOKUP(B579,'Currency Table'!$M$3:$N$6,2, FALSE)</f>
        <v>GBP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5.75" hidden="1" customHeight="1">
      <c r="A580" s="3" t="s">
        <v>186</v>
      </c>
      <c r="B580" s="3" t="s">
        <v>128</v>
      </c>
      <c r="C580" s="3" t="s">
        <v>133</v>
      </c>
      <c r="D580" s="4">
        <v>45677.0</v>
      </c>
      <c r="E580" s="3">
        <v>69.0</v>
      </c>
      <c r="F580" s="5">
        <v>3.0</v>
      </c>
      <c r="G580" s="3">
        <v>985.0</v>
      </c>
      <c r="H580" s="3" t="str">
        <f>VLOOKUP(B580,'Currency Table'!$M$3:$N$6,2, FALSE)</f>
        <v>GBP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5.75" hidden="1" customHeight="1">
      <c r="A581" s="3" t="s">
        <v>143</v>
      </c>
      <c r="B581" s="3" t="s">
        <v>128</v>
      </c>
      <c r="C581" s="3" t="s">
        <v>129</v>
      </c>
      <c r="D581" s="4">
        <v>45677.0</v>
      </c>
      <c r="E581" s="3">
        <v>38.0</v>
      </c>
      <c r="F581" s="5">
        <v>4.0</v>
      </c>
      <c r="G581" s="3">
        <v>637.0</v>
      </c>
      <c r="H581" s="3" t="str">
        <f>VLOOKUP(B581,'Currency Table'!$M$3:$N$6,2, FALSE)</f>
        <v>GBP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5.75" hidden="1" customHeight="1">
      <c r="A582" s="3" t="s">
        <v>191</v>
      </c>
      <c r="B582" s="3" t="s">
        <v>128</v>
      </c>
      <c r="C582" s="3" t="s">
        <v>133</v>
      </c>
      <c r="D582" s="4">
        <v>45677.0</v>
      </c>
      <c r="E582" s="3">
        <v>14.0</v>
      </c>
      <c r="F582" s="5">
        <v>2.0</v>
      </c>
      <c r="G582" s="3">
        <v>214.0</v>
      </c>
      <c r="H582" s="3" t="str">
        <f>VLOOKUP(B582,'Currency Table'!$M$3:$N$6,2, FALSE)</f>
        <v>GBP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5.75" hidden="1" customHeight="1">
      <c r="A583" s="3" t="s">
        <v>228</v>
      </c>
      <c r="B583" s="3" t="s">
        <v>128</v>
      </c>
      <c r="C583" s="3" t="s">
        <v>137</v>
      </c>
      <c r="D583" s="4">
        <v>45677.0</v>
      </c>
      <c r="E583" s="3">
        <v>53.0</v>
      </c>
      <c r="F583" s="5">
        <v>4.0</v>
      </c>
      <c r="G583" s="3">
        <v>887.0</v>
      </c>
      <c r="H583" s="3" t="str">
        <f>VLOOKUP(B583,'Currency Table'!$M$3:$N$6,2, FALSE)</f>
        <v>GBP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5.75" hidden="1" customHeight="1">
      <c r="A584" s="3" t="s">
        <v>154</v>
      </c>
      <c r="B584" s="3" t="s">
        <v>128</v>
      </c>
      <c r="C584" s="3" t="s">
        <v>131</v>
      </c>
      <c r="D584" s="4">
        <v>45677.0</v>
      </c>
      <c r="E584" s="3">
        <v>41.0</v>
      </c>
      <c r="F584" s="5">
        <v>0.0</v>
      </c>
      <c r="G584" s="3">
        <v>504.0</v>
      </c>
      <c r="H584" s="3" t="str">
        <f>VLOOKUP(B584,'Currency Table'!$M$3:$N$6,2, FALSE)</f>
        <v>GBP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5.75" hidden="1" customHeight="1">
      <c r="A585" s="3" t="s">
        <v>151</v>
      </c>
      <c r="B585" s="3" t="s">
        <v>128</v>
      </c>
      <c r="C585" s="3" t="s">
        <v>145</v>
      </c>
      <c r="D585" s="4">
        <v>45677.0</v>
      </c>
      <c r="E585" s="3">
        <v>13.0</v>
      </c>
      <c r="F585" s="5">
        <v>1.0</v>
      </c>
      <c r="G585" s="3">
        <v>203.0</v>
      </c>
      <c r="H585" s="3" t="str">
        <f>VLOOKUP(B585,'Currency Table'!$M$3:$N$6,2, FALSE)</f>
        <v>GBP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5.75" hidden="1" customHeight="1">
      <c r="A586" s="3" t="s">
        <v>158</v>
      </c>
      <c r="B586" s="3" t="s">
        <v>128</v>
      </c>
      <c r="C586" s="3" t="s">
        <v>145</v>
      </c>
      <c r="D586" s="4">
        <v>45677.0</v>
      </c>
      <c r="E586" s="3">
        <v>25.0</v>
      </c>
      <c r="F586" s="5">
        <v>0.0</v>
      </c>
      <c r="G586" s="3">
        <v>427.0</v>
      </c>
      <c r="H586" s="3" t="str">
        <f>VLOOKUP(B586,'Currency Table'!$M$3:$N$6,2, FALSE)</f>
        <v>GBP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5.75" hidden="1" customHeight="1">
      <c r="A587" s="3" t="s">
        <v>159</v>
      </c>
      <c r="B587" s="3" t="s">
        <v>128</v>
      </c>
      <c r="C587" s="3" t="s">
        <v>145</v>
      </c>
      <c r="D587" s="4">
        <v>45677.0</v>
      </c>
      <c r="E587" s="3">
        <v>19.0</v>
      </c>
      <c r="F587" s="5">
        <v>5.0</v>
      </c>
      <c r="G587" s="3">
        <v>333.0</v>
      </c>
      <c r="H587" s="3" t="str">
        <f>VLOOKUP(B587,'Currency Table'!$M$3:$N$6,2, FALSE)</f>
        <v>GBP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5.75" hidden="1" customHeight="1">
      <c r="A588" s="3" t="s">
        <v>163</v>
      </c>
      <c r="B588" s="3" t="s">
        <v>128</v>
      </c>
      <c r="C588" s="3" t="s">
        <v>129</v>
      </c>
      <c r="D588" s="4">
        <v>45677.0</v>
      </c>
      <c r="E588" s="3">
        <v>65.0</v>
      </c>
      <c r="F588" s="5">
        <v>0.0</v>
      </c>
      <c r="G588" s="3">
        <v>964.0</v>
      </c>
      <c r="H588" s="3" t="str">
        <f>VLOOKUP(B588,'Currency Table'!$M$3:$N$6,2, FALSE)</f>
        <v>GBP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5.75" hidden="1" customHeight="1">
      <c r="A589" s="3" t="s">
        <v>170</v>
      </c>
      <c r="B589" s="3" t="s">
        <v>128</v>
      </c>
      <c r="C589" s="3" t="s">
        <v>145</v>
      </c>
      <c r="D589" s="4">
        <v>45677.0</v>
      </c>
      <c r="E589" s="3">
        <v>66.0</v>
      </c>
      <c r="F589" s="5">
        <v>4.0</v>
      </c>
      <c r="G589" s="3">
        <v>946.0</v>
      </c>
      <c r="H589" s="3" t="str">
        <f>VLOOKUP(B589,'Currency Table'!$M$3:$N$6,2, FALSE)</f>
        <v>GBP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5.75" hidden="1" customHeight="1">
      <c r="A590" s="3" t="s">
        <v>200</v>
      </c>
      <c r="B590" s="3" t="s">
        <v>128</v>
      </c>
      <c r="C590" s="3" t="s">
        <v>135</v>
      </c>
      <c r="D590" s="4">
        <v>45677.0</v>
      </c>
      <c r="E590" s="3">
        <v>61.0</v>
      </c>
      <c r="F590" s="5">
        <v>1.0</v>
      </c>
      <c r="G590" s="3">
        <v>1040.0</v>
      </c>
      <c r="H590" s="3" t="str">
        <f>VLOOKUP(B590,'Currency Table'!$M$3:$N$6,2, FALSE)</f>
        <v>GBP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5.75" hidden="1" customHeight="1">
      <c r="A591" s="3" t="s">
        <v>171</v>
      </c>
      <c r="B591" s="3" t="s">
        <v>128</v>
      </c>
      <c r="C591" s="3" t="s">
        <v>137</v>
      </c>
      <c r="D591" s="4">
        <v>45677.0</v>
      </c>
      <c r="E591" s="3">
        <v>43.0</v>
      </c>
      <c r="F591" s="5">
        <v>5.0</v>
      </c>
      <c r="G591" s="3">
        <v>572.0</v>
      </c>
      <c r="H591" s="3" t="str">
        <f>VLOOKUP(B591,'Currency Table'!$M$3:$N$6,2, FALSE)</f>
        <v>GBP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5.75" hidden="1" customHeight="1">
      <c r="A592" s="3" t="s">
        <v>175</v>
      </c>
      <c r="B592" s="3" t="s">
        <v>128</v>
      </c>
      <c r="C592" s="3" t="s">
        <v>145</v>
      </c>
      <c r="D592" s="4">
        <v>45677.0</v>
      </c>
      <c r="E592" s="3">
        <v>37.0</v>
      </c>
      <c r="F592" s="5">
        <v>1.0</v>
      </c>
      <c r="G592" s="3">
        <v>664.0</v>
      </c>
      <c r="H592" s="3" t="str">
        <f>VLOOKUP(B592,'Currency Table'!$M$3:$N$6,2, FALSE)</f>
        <v>GBP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5.75" hidden="1" customHeight="1">
      <c r="A593" s="3" t="s">
        <v>176</v>
      </c>
      <c r="B593" s="3" t="s">
        <v>128</v>
      </c>
      <c r="C593" s="3" t="s">
        <v>145</v>
      </c>
      <c r="D593" s="4">
        <v>45677.0</v>
      </c>
      <c r="E593" s="3">
        <v>54.0</v>
      </c>
      <c r="F593" s="5">
        <v>2.0</v>
      </c>
      <c r="G593" s="3">
        <v>802.0</v>
      </c>
      <c r="H593" s="3" t="str">
        <f>VLOOKUP(B593,'Currency Table'!$M$3:$N$6,2, FALSE)</f>
        <v>GBP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5.75" hidden="1" customHeight="1">
      <c r="A594" s="3" t="s">
        <v>172</v>
      </c>
      <c r="B594" s="3" t="s">
        <v>128</v>
      </c>
      <c r="C594" s="3" t="s">
        <v>137</v>
      </c>
      <c r="D594" s="4">
        <v>45677.0</v>
      </c>
      <c r="E594" s="3">
        <v>15.0</v>
      </c>
      <c r="F594" s="5">
        <v>4.0</v>
      </c>
      <c r="G594" s="3">
        <v>227.0</v>
      </c>
      <c r="H594" s="3" t="str">
        <f>VLOOKUP(B594,'Currency Table'!$M$3:$N$6,2, FALSE)</f>
        <v>GBP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5.75" hidden="1" customHeight="1">
      <c r="A595" s="3" t="s">
        <v>188</v>
      </c>
      <c r="B595" s="3" t="s">
        <v>128</v>
      </c>
      <c r="C595" s="3" t="s">
        <v>145</v>
      </c>
      <c r="D595" s="4">
        <v>45677.0</v>
      </c>
      <c r="E595" s="3">
        <v>16.0</v>
      </c>
      <c r="F595" s="5">
        <v>2.0</v>
      </c>
      <c r="G595" s="3">
        <v>250.0</v>
      </c>
      <c r="H595" s="3" t="str">
        <f>VLOOKUP(B595,'Currency Table'!$M$3:$N$6,2, FALSE)</f>
        <v>GBP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5.75" hidden="1" customHeight="1">
      <c r="A596" s="3" t="s">
        <v>201</v>
      </c>
      <c r="B596" s="3" t="s">
        <v>128</v>
      </c>
      <c r="C596" s="3" t="s">
        <v>135</v>
      </c>
      <c r="D596" s="4">
        <v>45677.0</v>
      </c>
      <c r="E596" s="3">
        <v>36.0</v>
      </c>
      <c r="F596" s="5">
        <v>3.0</v>
      </c>
      <c r="G596" s="3">
        <v>665.0</v>
      </c>
      <c r="H596" s="3" t="str">
        <f>VLOOKUP(B596,'Currency Table'!$M$3:$N$6,2, FALSE)</f>
        <v>GBP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5.75" hidden="1" customHeight="1">
      <c r="A597" s="3" t="s">
        <v>164</v>
      </c>
      <c r="B597" s="3" t="s">
        <v>128</v>
      </c>
      <c r="C597" s="3" t="s">
        <v>129</v>
      </c>
      <c r="D597" s="4">
        <v>45677.0</v>
      </c>
      <c r="E597" s="3">
        <v>58.0</v>
      </c>
      <c r="F597" s="5">
        <v>3.0</v>
      </c>
      <c r="G597" s="3">
        <v>891.0</v>
      </c>
      <c r="H597" s="3" t="str">
        <f>VLOOKUP(B597,'Currency Table'!$M$3:$N$6,2, FALSE)</f>
        <v>GBP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5.75" hidden="1" customHeight="1">
      <c r="A598" s="3" t="s">
        <v>169</v>
      </c>
      <c r="B598" s="3" t="s">
        <v>128</v>
      </c>
      <c r="C598" s="3" t="s">
        <v>129</v>
      </c>
      <c r="D598" s="4">
        <v>45677.0</v>
      </c>
      <c r="E598" s="3">
        <v>39.0</v>
      </c>
      <c r="F598" s="5">
        <v>5.0</v>
      </c>
      <c r="G598" s="3">
        <v>593.0</v>
      </c>
      <c r="H598" s="3" t="str">
        <f>VLOOKUP(B598,'Currency Table'!$M$3:$N$6,2, FALSE)</f>
        <v>GBP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5.75" hidden="1" customHeight="1">
      <c r="A599" s="3" t="s">
        <v>190</v>
      </c>
      <c r="B599" s="3" t="s">
        <v>128</v>
      </c>
      <c r="C599" s="3" t="s">
        <v>145</v>
      </c>
      <c r="D599" s="4">
        <v>45677.0</v>
      </c>
      <c r="E599" s="3">
        <v>25.0</v>
      </c>
      <c r="F599" s="5">
        <v>2.0</v>
      </c>
      <c r="G599" s="3">
        <v>352.0</v>
      </c>
      <c r="H599" s="3" t="str">
        <f>VLOOKUP(B599,'Currency Table'!$M$3:$N$6,2, FALSE)</f>
        <v>GBP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5.75" hidden="1" customHeight="1">
      <c r="A600" s="3" t="s">
        <v>229</v>
      </c>
      <c r="B600" s="3" t="s">
        <v>128</v>
      </c>
      <c r="C600" s="3" t="s">
        <v>129</v>
      </c>
      <c r="D600" s="4">
        <v>45677.0</v>
      </c>
      <c r="E600" s="3">
        <v>62.0</v>
      </c>
      <c r="F600" s="5">
        <v>4.0</v>
      </c>
      <c r="G600" s="3">
        <v>943.0</v>
      </c>
      <c r="H600" s="3" t="str">
        <f>VLOOKUP(B600,'Currency Table'!$M$3:$N$6,2, FALSE)</f>
        <v>GBP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5.75" hidden="1" customHeight="1">
      <c r="A601" s="3" t="s">
        <v>179</v>
      </c>
      <c r="B601" s="3" t="s">
        <v>128</v>
      </c>
      <c r="C601" s="3" t="s">
        <v>137</v>
      </c>
      <c r="D601" s="4">
        <v>45677.0</v>
      </c>
      <c r="E601" s="3">
        <v>28.0</v>
      </c>
      <c r="F601" s="5">
        <v>0.0</v>
      </c>
      <c r="G601" s="3">
        <v>269.0</v>
      </c>
      <c r="H601" s="3" t="str">
        <f>VLOOKUP(B601,'Currency Table'!$M$3:$N$6,2, FALSE)</f>
        <v>GBP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5.75" hidden="1" customHeight="1">
      <c r="A602" s="3" t="s">
        <v>203</v>
      </c>
      <c r="B602" s="3" t="s">
        <v>128</v>
      </c>
      <c r="C602" s="3" t="s">
        <v>145</v>
      </c>
      <c r="D602" s="4">
        <v>45677.0</v>
      </c>
      <c r="E602" s="3">
        <v>31.0</v>
      </c>
      <c r="F602" s="5">
        <v>0.0</v>
      </c>
      <c r="G602" s="3">
        <v>546.0</v>
      </c>
      <c r="H602" s="3" t="str">
        <f>VLOOKUP(B602,'Currency Table'!$M$3:$N$6,2, FALSE)</f>
        <v>GBP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5.75" hidden="1" customHeight="1">
      <c r="A603" s="3" t="s">
        <v>230</v>
      </c>
      <c r="B603" s="3" t="s">
        <v>128</v>
      </c>
      <c r="C603" s="3" t="s">
        <v>131</v>
      </c>
      <c r="D603" s="4">
        <v>45677.0</v>
      </c>
      <c r="E603" s="3">
        <v>15.0</v>
      </c>
      <c r="F603" s="5">
        <v>3.0</v>
      </c>
      <c r="G603" s="3">
        <v>213.0</v>
      </c>
      <c r="H603" s="3" t="str">
        <f>VLOOKUP(B603,'Currency Table'!$M$3:$N$6,2, FALSE)</f>
        <v>GBP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5.75" hidden="1" customHeight="1">
      <c r="A604" s="3" t="s">
        <v>216</v>
      </c>
      <c r="B604" s="3" t="s">
        <v>128</v>
      </c>
      <c r="C604" s="3" t="s">
        <v>145</v>
      </c>
      <c r="D604" s="4">
        <v>45677.0</v>
      </c>
      <c r="E604" s="3">
        <v>46.0</v>
      </c>
      <c r="F604" s="5">
        <v>4.0</v>
      </c>
      <c r="G604" s="3">
        <v>896.0</v>
      </c>
      <c r="H604" s="3" t="str">
        <f>VLOOKUP(B604,'Currency Table'!$M$3:$N$6,2, FALSE)</f>
        <v>GBP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5.75" hidden="1" customHeight="1">
      <c r="A605" s="3" t="s">
        <v>231</v>
      </c>
      <c r="B605" s="3" t="s">
        <v>128</v>
      </c>
      <c r="C605" s="3" t="s">
        <v>129</v>
      </c>
      <c r="D605" s="4">
        <v>45677.0</v>
      </c>
      <c r="E605" s="3">
        <v>32.0</v>
      </c>
      <c r="F605" s="5">
        <v>4.0</v>
      </c>
      <c r="G605" s="3">
        <v>666.0</v>
      </c>
      <c r="H605" s="3" t="str">
        <f>VLOOKUP(B605,'Currency Table'!$M$3:$N$6,2, FALSE)</f>
        <v>GBP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5.75" hidden="1" customHeight="1">
      <c r="A606" s="3" t="s">
        <v>162</v>
      </c>
      <c r="B606" s="3" t="s">
        <v>128</v>
      </c>
      <c r="C606" s="3" t="s">
        <v>131</v>
      </c>
      <c r="D606" s="4">
        <v>45677.0</v>
      </c>
      <c r="E606" s="3">
        <v>17.0</v>
      </c>
      <c r="F606" s="5">
        <v>3.0</v>
      </c>
      <c r="G606" s="3">
        <v>371.0</v>
      </c>
      <c r="H606" s="3" t="str">
        <f>VLOOKUP(B606,'Currency Table'!$M$3:$N$6,2, FALSE)</f>
        <v>GBP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5.75" hidden="1" customHeight="1">
      <c r="A607" s="3" t="s">
        <v>222</v>
      </c>
      <c r="B607" s="3" t="s">
        <v>128</v>
      </c>
      <c r="C607" s="3" t="s">
        <v>145</v>
      </c>
      <c r="D607" s="4">
        <v>45677.0</v>
      </c>
      <c r="E607" s="3">
        <v>26.0</v>
      </c>
      <c r="F607" s="5">
        <v>2.0</v>
      </c>
      <c r="G607" s="3">
        <v>497.0</v>
      </c>
      <c r="H607" s="3" t="str">
        <f>VLOOKUP(B607,'Currency Table'!$M$3:$N$6,2, FALSE)</f>
        <v>GBP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5.75" hidden="1" customHeight="1">
      <c r="A608" s="3" t="s">
        <v>232</v>
      </c>
      <c r="B608" s="3" t="s">
        <v>128</v>
      </c>
      <c r="C608" s="3" t="s">
        <v>133</v>
      </c>
      <c r="D608" s="4">
        <v>45677.0</v>
      </c>
      <c r="E608" s="3">
        <v>33.0</v>
      </c>
      <c r="F608" s="5">
        <v>4.0</v>
      </c>
      <c r="G608" s="3">
        <v>543.0</v>
      </c>
      <c r="H608" s="3" t="str">
        <f>VLOOKUP(B608,'Currency Table'!$M$3:$N$6,2, FALSE)</f>
        <v>GBP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5.75" hidden="1" customHeight="1">
      <c r="A609" s="3" t="s">
        <v>192</v>
      </c>
      <c r="B609" s="3" t="s">
        <v>128</v>
      </c>
      <c r="C609" s="3" t="s">
        <v>131</v>
      </c>
      <c r="D609" s="4">
        <v>45677.0</v>
      </c>
      <c r="E609" s="3">
        <v>62.0</v>
      </c>
      <c r="F609" s="5">
        <v>5.0</v>
      </c>
      <c r="G609" s="3">
        <v>966.0</v>
      </c>
      <c r="H609" s="3" t="str">
        <f>VLOOKUP(B609,'Currency Table'!$M$3:$N$6,2, FALSE)</f>
        <v>GBP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5.75" hidden="1" customHeight="1">
      <c r="A610" s="3" t="s">
        <v>206</v>
      </c>
      <c r="B610" s="3" t="s">
        <v>128</v>
      </c>
      <c r="C610" s="3" t="s">
        <v>133</v>
      </c>
      <c r="D610" s="4">
        <v>45677.0</v>
      </c>
      <c r="E610" s="3">
        <v>25.0</v>
      </c>
      <c r="F610" s="5">
        <v>1.0</v>
      </c>
      <c r="G610" s="3">
        <v>347.0</v>
      </c>
      <c r="H610" s="3" t="str">
        <f>VLOOKUP(B610,'Currency Table'!$M$3:$N$6,2, FALSE)</f>
        <v>GBP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5.75" hidden="1" customHeight="1">
      <c r="A611" s="3" t="s">
        <v>180</v>
      </c>
      <c r="B611" s="3" t="s">
        <v>128</v>
      </c>
      <c r="C611" s="3" t="s">
        <v>137</v>
      </c>
      <c r="D611" s="4">
        <v>45677.0</v>
      </c>
      <c r="E611" s="3">
        <v>24.0</v>
      </c>
      <c r="F611" s="5">
        <v>0.0</v>
      </c>
      <c r="G611" s="3">
        <v>462.0</v>
      </c>
      <c r="H611" s="3" t="str">
        <f>VLOOKUP(B611,'Currency Table'!$M$3:$N$6,2, FALSE)</f>
        <v>GBP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5.75" hidden="1" customHeight="1">
      <c r="A612" s="3" t="s">
        <v>233</v>
      </c>
      <c r="B612" s="3" t="s">
        <v>128</v>
      </c>
      <c r="C612" s="3" t="s">
        <v>137</v>
      </c>
      <c r="D612" s="4">
        <v>45677.0</v>
      </c>
      <c r="E612" s="3">
        <v>19.0</v>
      </c>
      <c r="F612" s="5">
        <v>4.0</v>
      </c>
      <c r="G612" s="3">
        <v>500.0</v>
      </c>
      <c r="H612" s="3" t="str">
        <f>VLOOKUP(B612,'Currency Table'!$M$3:$N$6,2, FALSE)</f>
        <v>GBP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5.75" hidden="1" customHeight="1">
      <c r="A613" s="3" t="s">
        <v>207</v>
      </c>
      <c r="B613" s="3" t="s">
        <v>128</v>
      </c>
      <c r="C613" s="3" t="s">
        <v>133</v>
      </c>
      <c r="D613" s="4">
        <v>45677.0</v>
      </c>
      <c r="E613" s="3">
        <v>13.0</v>
      </c>
      <c r="F613" s="5">
        <v>3.0</v>
      </c>
      <c r="G613" s="3">
        <v>227.0</v>
      </c>
      <c r="H613" s="3" t="str">
        <f>VLOOKUP(B613,'Currency Table'!$M$3:$N$6,2, FALSE)</f>
        <v>GBP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5.75" hidden="1" customHeight="1">
      <c r="A614" s="3" t="s">
        <v>187</v>
      </c>
      <c r="B614" s="3" t="s">
        <v>128</v>
      </c>
      <c r="C614" s="3" t="s">
        <v>129</v>
      </c>
      <c r="D614" s="4">
        <v>45677.0</v>
      </c>
      <c r="E614" s="3">
        <v>61.0</v>
      </c>
      <c r="F614" s="5">
        <v>3.0</v>
      </c>
      <c r="G614" s="3">
        <v>921.0</v>
      </c>
      <c r="H614" s="3" t="str">
        <f>VLOOKUP(B614,'Currency Table'!$M$3:$N$6,2, FALSE)</f>
        <v>GBP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5.75" hidden="1" customHeight="1">
      <c r="A615" s="3" t="s">
        <v>234</v>
      </c>
      <c r="B615" s="3" t="s">
        <v>128</v>
      </c>
      <c r="C615" s="3" t="s">
        <v>137</v>
      </c>
      <c r="D615" s="4">
        <v>45677.0</v>
      </c>
      <c r="E615" s="3">
        <v>47.0</v>
      </c>
      <c r="F615" s="5">
        <v>3.0</v>
      </c>
      <c r="G615" s="3">
        <v>720.0</v>
      </c>
      <c r="H615" s="3" t="str">
        <f>VLOOKUP(B615,'Currency Table'!$M$3:$N$6,2, FALSE)</f>
        <v>GBP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5.75" hidden="1" customHeight="1">
      <c r="A616" s="3" t="s">
        <v>189</v>
      </c>
      <c r="B616" s="3" t="s">
        <v>128</v>
      </c>
      <c r="C616" s="3" t="s">
        <v>129</v>
      </c>
      <c r="D616" s="4">
        <v>45677.0</v>
      </c>
      <c r="E616" s="3">
        <v>26.0</v>
      </c>
      <c r="F616" s="5">
        <v>1.0</v>
      </c>
      <c r="G616" s="3">
        <v>374.0</v>
      </c>
      <c r="H616" s="3" t="str">
        <f>VLOOKUP(B616,'Currency Table'!$M$3:$N$6,2, FALSE)</f>
        <v>GBP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5.75" hidden="1" customHeight="1">
      <c r="A617" s="3" t="s">
        <v>208</v>
      </c>
      <c r="B617" s="3" t="s">
        <v>128</v>
      </c>
      <c r="C617" s="3" t="s">
        <v>133</v>
      </c>
      <c r="D617" s="4">
        <v>45677.0</v>
      </c>
      <c r="E617" s="3">
        <v>47.0</v>
      </c>
      <c r="F617" s="5">
        <v>3.0</v>
      </c>
      <c r="G617" s="3">
        <v>888.0</v>
      </c>
      <c r="H617" s="3" t="str">
        <f>VLOOKUP(B617,'Currency Table'!$M$3:$N$6,2, FALSE)</f>
        <v>GBP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5.75" hidden="1" customHeight="1">
      <c r="A618" s="3" t="s">
        <v>198</v>
      </c>
      <c r="B618" s="3" t="s">
        <v>128</v>
      </c>
      <c r="C618" s="3" t="s">
        <v>131</v>
      </c>
      <c r="D618" s="4">
        <v>45677.0</v>
      </c>
      <c r="E618" s="3">
        <v>47.0</v>
      </c>
      <c r="F618" s="5">
        <v>3.0</v>
      </c>
      <c r="G618" s="3">
        <v>818.0</v>
      </c>
      <c r="H618" s="3" t="str">
        <f>VLOOKUP(B618,'Currency Table'!$M$3:$N$6,2, FALSE)</f>
        <v>GBP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5.75" hidden="1" customHeight="1">
      <c r="A619" s="3" t="s">
        <v>196</v>
      </c>
      <c r="B619" s="3" t="s">
        <v>128</v>
      </c>
      <c r="C619" s="3" t="s">
        <v>129</v>
      </c>
      <c r="D619" s="4">
        <v>45677.0</v>
      </c>
      <c r="E619" s="3">
        <v>38.0</v>
      </c>
      <c r="F619" s="5">
        <v>0.0</v>
      </c>
      <c r="G619" s="3">
        <v>694.0</v>
      </c>
      <c r="H619" s="3" t="str">
        <f>VLOOKUP(B619,'Currency Table'!$M$3:$N$6,2, FALSE)</f>
        <v>GBP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5.75" hidden="1" customHeight="1">
      <c r="A620" s="3" t="s">
        <v>221</v>
      </c>
      <c r="B620" s="3" t="s">
        <v>128</v>
      </c>
      <c r="C620" s="3" t="s">
        <v>135</v>
      </c>
      <c r="D620" s="4">
        <v>45677.0</v>
      </c>
      <c r="E620" s="3">
        <v>23.0</v>
      </c>
      <c r="F620" s="5">
        <v>3.0</v>
      </c>
      <c r="G620" s="3">
        <v>400.0</v>
      </c>
      <c r="H620" s="3" t="str">
        <f>VLOOKUP(B620,'Currency Table'!$M$3:$N$6,2, FALSE)</f>
        <v>GBP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5.75" hidden="1" customHeight="1">
      <c r="A621" s="3" t="s">
        <v>235</v>
      </c>
      <c r="B621" s="3" t="s">
        <v>128</v>
      </c>
      <c r="C621" s="3" t="s">
        <v>133</v>
      </c>
      <c r="D621" s="4">
        <v>45677.0</v>
      </c>
      <c r="E621" s="3">
        <v>54.0</v>
      </c>
      <c r="F621" s="5">
        <v>5.0</v>
      </c>
      <c r="G621" s="3">
        <v>793.0</v>
      </c>
      <c r="H621" s="3" t="str">
        <f>VLOOKUP(B621,'Currency Table'!$M$3:$N$6,2, FALSE)</f>
        <v>GBP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5.75" hidden="1" customHeight="1">
      <c r="A622" s="3" t="s">
        <v>194</v>
      </c>
      <c r="B622" s="3" t="s">
        <v>128</v>
      </c>
      <c r="C622" s="3" t="s">
        <v>137</v>
      </c>
      <c r="D622" s="4">
        <v>45677.0</v>
      </c>
      <c r="E622" s="3">
        <v>22.0</v>
      </c>
      <c r="F622" s="5">
        <v>4.0</v>
      </c>
      <c r="G622" s="3">
        <v>477.0</v>
      </c>
      <c r="H622" s="3" t="str">
        <f>VLOOKUP(B622,'Currency Table'!$M$3:$N$6,2, FALSE)</f>
        <v>GBP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5.75" hidden="1" customHeight="1">
      <c r="A623" s="3" t="s">
        <v>195</v>
      </c>
      <c r="B623" s="3" t="s">
        <v>128</v>
      </c>
      <c r="C623" s="3" t="s">
        <v>137</v>
      </c>
      <c r="D623" s="4">
        <v>45677.0</v>
      </c>
      <c r="E623" s="3">
        <v>56.0</v>
      </c>
      <c r="F623" s="5">
        <v>5.0</v>
      </c>
      <c r="G623" s="3">
        <v>711.0</v>
      </c>
      <c r="H623" s="3" t="str">
        <f>VLOOKUP(B623,'Currency Table'!$M$3:$N$6,2, FALSE)</f>
        <v>GBP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5.75" hidden="1" customHeight="1">
      <c r="A624" s="3" t="s">
        <v>197</v>
      </c>
      <c r="B624" s="3" t="s">
        <v>128</v>
      </c>
      <c r="C624" s="3" t="s">
        <v>137</v>
      </c>
      <c r="D624" s="4">
        <v>45677.0</v>
      </c>
      <c r="E624" s="3">
        <v>66.0</v>
      </c>
      <c r="F624" s="5">
        <v>0.0</v>
      </c>
      <c r="G624" s="3">
        <v>959.0</v>
      </c>
      <c r="H624" s="3" t="str">
        <f>VLOOKUP(B624,'Currency Table'!$M$3:$N$6,2, FALSE)</f>
        <v>GBP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5.75" hidden="1" customHeight="1">
      <c r="A625" s="3" t="s">
        <v>202</v>
      </c>
      <c r="B625" s="3" t="s">
        <v>128</v>
      </c>
      <c r="C625" s="3" t="s">
        <v>131</v>
      </c>
      <c r="D625" s="4">
        <v>45677.0</v>
      </c>
      <c r="E625" s="3">
        <v>10.0</v>
      </c>
      <c r="F625" s="5">
        <v>0.0</v>
      </c>
      <c r="G625" s="3">
        <v>195.0</v>
      </c>
      <c r="H625" s="3" t="str">
        <f>VLOOKUP(B625,'Currency Table'!$M$3:$N$6,2, FALSE)</f>
        <v>GBP</v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5.75" hidden="1" customHeight="1">
      <c r="A626" s="3" t="s">
        <v>236</v>
      </c>
      <c r="B626" s="3" t="s">
        <v>128</v>
      </c>
      <c r="C626" s="3" t="s">
        <v>133</v>
      </c>
      <c r="D626" s="4">
        <v>45677.0</v>
      </c>
      <c r="E626" s="3">
        <v>59.0</v>
      </c>
      <c r="F626" s="5">
        <v>4.0</v>
      </c>
      <c r="G626" s="3">
        <v>780.0</v>
      </c>
      <c r="H626" s="3" t="str">
        <f>VLOOKUP(B626,'Currency Table'!$M$3:$N$6,2, FALSE)</f>
        <v>GBP</v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5.75" hidden="1" customHeight="1">
      <c r="A627" s="3" t="s">
        <v>199</v>
      </c>
      <c r="B627" s="3" t="s">
        <v>128</v>
      </c>
      <c r="C627" s="3" t="s">
        <v>129</v>
      </c>
      <c r="D627" s="4">
        <v>45677.0</v>
      </c>
      <c r="E627" s="3">
        <v>10.0</v>
      </c>
      <c r="F627" s="5">
        <v>5.0</v>
      </c>
      <c r="G627" s="3">
        <v>224.0</v>
      </c>
      <c r="H627" s="3" t="str">
        <f>VLOOKUP(B627,'Currency Table'!$M$3:$N$6,2, FALSE)</f>
        <v>GBP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5.75" hidden="1" customHeight="1">
      <c r="A628" s="3" t="s">
        <v>127</v>
      </c>
      <c r="B628" s="3" t="s">
        <v>128</v>
      </c>
      <c r="C628" s="3" t="s">
        <v>129</v>
      </c>
      <c r="D628" s="4">
        <v>45684.0</v>
      </c>
      <c r="E628" s="3">
        <v>36.0</v>
      </c>
      <c r="F628" s="5">
        <v>2.0</v>
      </c>
      <c r="G628" s="3">
        <v>618.0</v>
      </c>
      <c r="H628" s="3" t="str">
        <f>VLOOKUP(B628,'Currency Table'!$M$3:$N$6,2, FALSE)</f>
        <v>GBP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5.75" hidden="1" customHeight="1">
      <c r="A629" s="3" t="s">
        <v>132</v>
      </c>
      <c r="B629" s="3" t="s">
        <v>128</v>
      </c>
      <c r="C629" s="3" t="s">
        <v>133</v>
      </c>
      <c r="D629" s="4">
        <v>45684.0</v>
      </c>
      <c r="E629" s="3">
        <v>46.0</v>
      </c>
      <c r="F629" s="5">
        <v>3.0</v>
      </c>
      <c r="G629" s="3">
        <v>755.0</v>
      </c>
      <c r="H629" s="3" t="str">
        <f>VLOOKUP(B629,'Currency Table'!$M$3:$N$6,2, FALSE)</f>
        <v>GBP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5.75" hidden="1" customHeight="1">
      <c r="A630" s="3" t="s">
        <v>141</v>
      </c>
      <c r="B630" s="3" t="s">
        <v>128</v>
      </c>
      <c r="C630" s="3" t="s">
        <v>129</v>
      </c>
      <c r="D630" s="4">
        <v>45684.0</v>
      </c>
      <c r="E630" s="3">
        <v>41.0</v>
      </c>
      <c r="F630" s="5">
        <v>1.0</v>
      </c>
      <c r="G630" s="3">
        <v>516.0</v>
      </c>
      <c r="H630" s="3" t="str">
        <f>VLOOKUP(B630,'Currency Table'!$M$3:$N$6,2, FALSE)</f>
        <v>GBP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5.75" hidden="1" customHeight="1">
      <c r="A631" s="3" t="s">
        <v>134</v>
      </c>
      <c r="B631" s="3" t="s">
        <v>128</v>
      </c>
      <c r="C631" s="3" t="s">
        <v>135</v>
      </c>
      <c r="D631" s="4">
        <v>45684.0</v>
      </c>
      <c r="E631" s="3">
        <v>26.0</v>
      </c>
      <c r="F631" s="5">
        <v>3.0</v>
      </c>
      <c r="G631" s="3">
        <v>335.0</v>
      </c>
      <c r="H631" s="3" t="str">
        <f>VLOOKUP(B631,'Currency Table'!$M$3:$N$6,2, FALSE)</f>
        <v>GBP</v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5.75" hidden="1" customHeight="1">
      <c r="A632" s="3" t="s">
        <v>138</v>
      </c>
      <c r="B632" s="3" t="s">
        <v>128</v>
      </c>
      <c r="C632" s="3" t="s">
        <v>135</v>
      </c>
      <c r="D632" s="4">
        <v>45684.0</v>
      </c>
      <c r="E632" s="3">
        <v>62.0</v>
      </c>
      <c r="F632" s="5">
        <v>3.0</v>
      </c>
      <c r="G632" s="3">
        <v>1050.0</v>
      </c>
      <c r="H632" s="3" t="str">
        <f>VLOOKUP(B632,'Currency Table'!$M$3:$N$6,2, FALSE)</f>
        <v>GBP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5.75" hidden="1" customHeight="1">
      <c r="A633" s="3" t="s">
        <v>139</v>
      </c>
      <c r="B633" s="3" t="s">
        <v>128</v>
      </c>
      <c r="C633" s="3" t="s">
        <v>135</v>
      </c>
      <c r="D633" s="4">
        <v>45684.0</v>
      </c>
      <c r="E633" s="3">
        <v>41.0</v>
      </c>
      <c r="F633" s="5">
        <v>3.0</v>
      </c>
      <c r="G633" s="3">
        <v>507.0</v>
      </c>
      <c r="H633" s="3" t="str">
        <f>VLOOKUP(B633,'Currency Table'!$M$3:$N$6,2, FALSE)</f>
        <v>GBP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5.75" hidden="1" customHeight="1">
      <c r="A634" s="3" t="s">
        <v>237</v>
      </c>
      <c r="B634" s="3" t="s">
        <v>128</v>
      </c>
      <c r="C634" s="3" t="s">
        <v>131</v>
      </c>
      <c r="D634" s="4">
        <v>45684.0</v>
      </c>
      <c r="E634" s="3">
        <v>39.0</v>
      </c>
      <c r="F634" s="5">
        <v>3.0</v>
      </c>
      <c r="G634" s="3">
        <v>580.0</v>
      </c>
      <c r="H634" s="3" t="str">
        <f>VLOOKUP(B634,'Currency Table'!$M$3:$N$6,2, FALSE)</f>
        <v>GBP</v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5.75" hidden="1" customHeight="1">
      <c r="A635" s="3" t="s">
        <v>156</v>
      </c>
      <c r="B635" s="3" t="s">
        <v>128</v>
      </c>
      <c r="C635" s="3" t="s">
        <v>133</v>
      </c>
      <c r="D635" s="4">
        <v>45684.0</v>
      </c>
      <c r="E635" s="3">
        <v>66.0</v>
      </c>
      <c r="F635" s="5">
        <v>2.0</v>
      </c>
      <c r="G635" s="3">
        <v>925.0</v>
      </c>
      <c r="H635" s="3" t="str">
        <f>VLOOKUP(B635,'Currency Table'!$M$3:$N$6,2, FALSE)</f>
        <v>GBP</v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5.75" hidden="1" customHeight="1">
      <c r="A636" s="3" t="s">
        <v>144</v>
      </c>
      <c r="B636" s="3" t="s">
        <v>128</v>
      </c>
      <c r="C636" s="3" t="s">
        <v>145</v>
      </c>
      <c r="D636" s="4">
        <v>45684.0</v>
      </c>
      <c r="E636" s="3">
        <v>45.0</v>
      </c>
      <c r="F636" s="5">
        <v>1.0</v>
      </c>
      <c r="G636" s="3">
        <v>635.0</v>
      </c>
      <c r="H636" s="3" t="str">
        <f>VLOOKUP(B636,'Currency Table'!$M$3:$N$6,2, FALSE)</f>
        <v>GBP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5.75" hidden="1" customHeight="1">
      <c r="A637" s="3" t="s">
        <v>149</v>
      </c>
      <c r="B637" s="3" t="s">
        <v>128</v>
      </c>
      <c r="C637" s="3" t="s">
        <v>135</v>
      </c>
      <c r="D637" s="4">
        <v>45684.0</v>
      </c>
      <c r="E637" s="3">
        <v>69.0</v>
      </c>
      <c r="F637" s="5">
        <v>4.0</v>
      </c>
      <c r="G637" s="3">
        <v>995.0</v>
      </c>
      <c r="H637" s="3" t="str">
        <f>VLOOKUP(B637,'Currency Table'!$M$3:$N$6,2, FALSE)</f>
        <v>GBP</v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5.75" hidden="1" customHeight="1">
      <c r="A638" s="3" t="s">
        <v>155</v>
      </c>
      <c r="B638" s="3" t="s">
        <v>128</v>
      </c>
      <c r="C638" s="3" t="s">
        <v>135</v>
      </c>
      <c r="D638" s="4">
        <v>45684.0</v>
      </c>
      <c r="E638" s="3">
        <v>21.0</v>
      </c>
      <c r="F638" s="5">
        <v>1.0</v>
      </c>
      <c r="G638" s="3">
        <v>444.0</v>
      </c>
      <c r="H638" s="3" t="str">
        <f>VLOOKUP(B638,'Currency Table'!$M$3:$N$6,2, FALSE)</f>
        <v>GBP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5.75" hidden="1" customHeight="1">
      <c r="A639" s="3" t="s">
        <v>143</v>
      </c>
      <c r="B639" s="3" t="s">
        <v>128</v>
      </c>
      <c r="C639" s="3" t="s">
        <v>129</v>
      </c>
      <c r="D639" s="4">
        <v>45684.0</v>
      </c>
      <c r="E639" s="3">
        <v>37.0</v>
      </c>
      <c r="F639" s="5">
        <v>1.0</v>
      </c>
      <c r="G639" s="3">
        <v>594.0</v>
      </c>
      <c r="H639" s="3" t="str">
        <f>VLOOKUP(B639,'Currency Table'!$M$3:$N$6,2, FALSE)</f>
        <v>GBP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5.75" hidden="1" customHeight="1">
      <c r="A640" s="3" t="s">
        <v>238</v>
      </c>
      <c r="B640" s="3" t="s">
        <v>128</v>
      </c>
      <c r="C640" s="3" t="s">
        <v>135</v>
      </c>
      <c r="D640" s="4">
        <v>45684.0</v>
      </c>
      <c r="E640" s="3">
        <v>52.0</v>
      </c>
      <c r="F640" s="5">
        <v>0.0</v>
      </c>
      <c r="G640" s="3">
        <v>731.0</v>
      </c>
      <c r="H640" s="3" t="str">
        <f>VLOOKUP(B640,'Currency Table'!$M$3:$N$6,2, FALSE)</f>
        <v>GBP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5.75" hidden="1" customHeight="1">
      <c r="A641" s="3" t="s">
        <v>239</v>
      </c>
      <c r="B641" s="3" t="s">
        <v>128</v>
      </c>
      <c r="C641" s="3" t="s">
        <v>135</v>
      </c>
      <c r="D641" s="4">
        <v>45684.0</v>
      </c>
      <c r="E641" s="3">
        <v>12.0</v>
      </c>
      <c r="F641" s="5">
        <v>3.0</v>
      </c>
      <c r="G641" s="3">
        <v>203.0</v>
      </c>
      <c r="H641" s="3" t="str">
        <f>VLOOKUP(B641,'Currency Table'!$M$3:$N$6,2, FALSE)</f>
        <v>GBP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5.75" hidden="1" customHeight="1">
      <c r="A642" s="3" t="s">
        <v>173</v>
      </c>
      <c r="B642" s="3" t="s">
        <v>128</v>
      </c>
      <c r="C642" s="3" t="s">
        <v>135</v>
      </c>
      <c r="D642" s="4">
        <v>45684.0</v>
      </c>
      <c r="E642" s="3">
        <v>59.0</v>
      </c>
      <c r="F642" s="5">
        <v>2.0</v>
      </c>
      <c r="G642" s="3">
        <v>763.0</v>
      </c>
      <c r="H642" s="3" t="str">
        <f>VLOOKUP(B642,'Currency Table'!$M$3:$N$6,2, FALSE)</f>
        <v>GBP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5.75" hidden="1" customHeight="1">
      <c r="A643" s="3" t="s">
        <v>178</v>
      </c>
      <c r="B643" s="3" t="s">
        <v>128</v>
      </c>
      <c r="C643" s="3" t="s">
        <v>135</v>
      </c>
      <c r="D643" s="4">
        <v>45684.0</v>
      </c>
      <c r="E643" s="3">
        <v>51.0</v>
      </c>
      <c r="F643" s="5">
        <v>5.0</v>
      </c>
      <c r="G643" s="3">
        <v>700.0</v>
      </c>
      <c r="H643" s="3" t="str">
        <f>VLOOKUP(B643,'Currency Table'!$M$3:$N$6,2, FALSE)</f>
        <v>GBP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5.75" hidden="1" customHeight="1">
      <c r="A644" s="3" t="s">
        <v>240</v>
      </c>
      <c r="B644" s="3" t="s">
        <v>128</v>
      </c>
      <c r="C644" s="3" t="s">
        <v>137</v>
      </c>
      <c r="D644" s="4">
        <v>45684.0</v>
      </c>
      <c r="E644" s="3">
        <v>34.0</v>
      </c>
      <c r="F644" s="5">
        <v>2.0</v>
      </c>
      <c r="G644" s="3">
        <v>634.0</v>
      </c>
      <c r="H644" s="3" t="str">
        <f>VLOOKUP(B644,'Currency Table'!$M$3:$N$6,2, FALSE)</f>
        <v>GBP</v>
      </c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5.75" hidden="1" customHeight="1">
      <c r="A645" s="3" t="s">
        <v>225</v>
      </c>
      <c r="B645" s="3" t="s">
        <v>128</v>
      </c>
      <c r="C645" s="3" t="s">
        <v>133</v>
      </c>
      <c r="D645" s="4">
        <v>45684.0</v>
      </c>
      <c r="E645" s="3">
        <v>67.0</v>
      </c>
      <c r="F645" s="5">
        <v>3.0</v>
      </c>
      <c r="G645" s="3">
        <v>904.0</v>
      </c>
      <c r="H645" s="3" t="str">
        <f>VLOOKUP(B645,'Currency Table'!$M$3:$N$6,2, FALSE)</f>
        <v>GBP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5.75" hidden="1" customHeight="1">
      <c r="A646" s="3" t="s">
        <v>181</v>
      </c>
      <c r="B646" s="3" t="s">
        <v>128</v>
      </c>
      <c r="C646" s="3" t="s">
        <v>133</v>
      </c>
      <c r="D646" s="4">
        <v>45684.0</v>
      </c>
      <c r="E646" s="3">
        <v>28.0</v>
      </c>
      <c r="F646" s="5">
        <v>4.0</v>
      </c>
      <c r="G646" s="3">
        <v>279.0</v>
      </c>
      <c r="H646" s="3" t="str">
        <f>VLOOKUP(B646,'Currency Table'!$M$3:$N$6,2, FALSE)</f>
        <v>GBP</v>
      </c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5.75" hidden="1" customHeight="1">
      <c r="A647" s="3" t="s">
        <v>151</v>
      </c>
      <c r="B647" s="3" t="s">
        <v>128</v>
      </c>
      <c r="C647" s="3" t="s">
        <v>145</v>
      </c>
      <c r="D647" s="4">
        <v>45684.0</v>
      </c>
      <c r="E647" s="3">
        <v>57.0</v>
      </c>
      <c r="F647" s="5">
        <v>3.0</v>
      </c>
      <c r="G647" s="3">
        <v>863.0</v>
      </c>
      <c r="H647" s="3" t="str">
        <f>VLOOKUP(B647,'Currency Table'!$M$3:$N$6,2, FALSE)</f>
        <v>GBP</v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5.75" hidden="1" customHeight="1">
      <c r="A648" s="3" t="s">
        <v>163</v>
      </c>
      <c r="B648" s="3" t="s">
        <v>128</v>
      </c>
      <c r="C648" s="3" t="s">
        <v>129</v>
      </c>
      <c r="D648" s="4">
        <v>45684.0</v>
      </c>
      <c r="E648" s="3">
        <v>43.0</v>
      </c>
      <c r="F648" s="5">
        <v>3.0</v>
      </c>
      <c r="G648" s="3">
        <v>576.0</v>
      </c>
      <c r="H648" s="3" t="str">
        <f>VLOOKUP(B648,'Currency Table'!$M$3:$N$6,2, FALSE)</f>
        <v>GBP</v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5.75" hidden="1" customHeight="1">
      <c r="A649" s="3" t="s">
        <v>140</v>
      </c>
      <c r="B649" s="3" t="s">
        <v>128</v>
      </c>
      <c r="C649" s="3" t="s">
        <v>137</v>
      </c>
      <c r="D649" s="4">
        <v>45684.0</v>
      </c>
      <c r="E649" s="3">
        <v>43.0</v>
      </c>
      <c r="F649" s="5">
        <v>1.0</v>
      </c>
      <c r="G649" s="3">
        <v>692.0</v>
      </c>
      <c r="H649" s="3" t="str">
        <f>VLOOKUP(B649,'Currency Table'!$M$3:$N$6,2, FALSE)</f>
        <v>GBP</v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5.75" hidden="1" customHeight="1">
      <c r="A650" s="3" t="s">
        <v>182</v>
      </c>
      <c r="B650" s="3" t="s">
        <v>128</v>
      </c>
      <c r="C650" s="3" t="s">
        <v>135</v>
      </c>
      <c r="D650" s="4">
        <v>45684.0</v>
      </c>
      <c r="E650" s="3">
        <v>69.0</v>
      </c>
      <c r="F650" s="5">
        <v>3.0</v>
      </c>
      <c r="G650" s="3">
        <v>994.0</v>
      </c>
      <c r="H650" s="3" t="str">
        <f>VLOOKUP(B650,'Currency Table'!$M$3:$N$6,2, FALSE)</f>
        <v>GBP</v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5.75" hidden="1" customHeight="1">
      <c r="A651" s="3" t="s">
        <v>146</v>
      </c>
      <c r="B651" s="3" t="s">
        <v>128</v>
      </c>
      <c r="C651" s="3" t="s">
        <v>137</v>
      </c>
      <c r="D651" s="4">
        <v>45684.0</v>
      </c>
      <c r="E651" s="3">
        <v>58.0</v>
      </c>
      <c r="F651" s="5">
        <v>1.0</v>
      </c>
      <c r="G651" s="3">
        <v>862.0</v>
      </c>
      <c r="H651" s="3" t="str">
        <f>VLOOKUP(B651,'Currency Table'!$M$3:$N$6,2, FALSE)</f>
        <v>GBP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5.75" hidden="1" customHeight="1">
      <c r="A652" s="3" t="s">
        <v>142</v>
      </c>
      <c r="B652" s="3" t="s">
        <v>128</v>
      </c>
      <c r="C652" s="3" t="s">
        <v>131</v>
      </c>
      <c r="D652" s="4">
        <v>45684.0</v>
      </c>
      <c r="E652" s="3">
        <v>12.0</v>
      </c>
      <c r="F652" s="5">
        <v>5.0</v>
      </c>
      <c r="G652" s="3">
        <v>184.0</v>
      </c>
      <c r="H652" s="3" t="str">
        <f>VLOOKUP(B652,'Currency Table'!$M$3:$N$6,2, FALSE)</f>
        <v>GBP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5.75" hidden="1" customHeight="1">
      <c r="A653" s="3" t="s">
        <v>148</v>
      </c>
      <c r="B653" s="3" t="s">
        <v>128</v>
      </c>
      <c r="C653" s="3" t="s">
        <v>137</v>
      </c>
      <c r="D653" s="4">
        <v>45684.0</v>
      </c>
      <c r="E653" s="3">
        <v>38.0</v>
      </c>
      <c r="F653" s="5">
        <v>0.0</v>
      </c>
      <c r="G653" s="3">
        <v>536.0</v>
      </c>
      <c r="H653" s="3" t="str">
        <f>VLOOKUP(B653,'Currency Table'!$M$3:$N$6,2, FALSE)</f>
        <v>GBP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5.75" hidden="1" customHeight="1">
      <c r="A654" s="3" t="s">
        <v>164</v>
      </c>
      <c r="B654" s="3" t="s">
        <v>128</v>
      </c>
      <c r="C654" s="3" t="s">
        <v>129</v>
      </c>
      <c r="D654" s="4">
        <v>45684.0</v>
      </c>
      <c r="E654" s="3">
        <v>67.0</v>
      </c>
      <c r="F654" s="5">
        <v>2.0</v>
      </c>
      <c r="G654" s="3">
        <v>1019.0</v>
      </c>
      <c r="H654" s="3" t="str">
        <f>VLOOKUP(B654,'Currency Table'!$M$3:$N$6,2, FALSE)</f>
        <v>GBP</v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5.75" hidden="1" customHeight="1">
      <c r="A655" s="3" t="s">
        <v>186</v>
      </c>
      <c r="B655" s="3" t="s">
        <v>128</v>
      </c>
      <c r="C655" s="3" t="s">
        <v>133</v>
      </c>
      <c r="D655" s="4">
        <v>45684.0</v>
      </c>
      <c r="E655" s="3">
        <v>56.0</v>
      </c>
      <c r="F655" s="5">
        <v>4.0</v>
      </c>
      <c r="G655" s="3">
        <v>886.0</v>
      </c>
      <c r="H655" s="3" t="str">
        <f>VLOOKUP(B655,'Currency Table'!$M$3:$N$6,2, FALSE)</f>
        <v>GBP</v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5.75" hidden="1" customHeight="1">
      <c r="A656" s="3" t="s">
        <v>169</v>
      </c>
      <c r="B656" s="3" t="s">
        <v>128</v>
      </c>
      <c r="C656" s="3" t="s">
        <v>129</v>
      </c>
      <c r="D656" s="4">
        <v>45684.0</v>
      </c>
      <c r="E656" s="3">
        <v>10.0</v>
      </c>
      <c r="F656" s="5">
        <v>3.0</v>
      </c>
      <c r="G656" s="3">
        <v>197.0</v>
      </c>
      <c r="H656" s="3" t="str">
        <f>VLOOKUP(B656,'Currency Table'!$M$3:$N$6,2, FALSE)</f>
        <v>GBP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5.75" hidden="1" customHeight="1">
      <c r="A657" s="3" t="s">
        <v>174</v>
      </c>
      <c r="B657" s="3" t="s">
        <v>128</v>
      </c>
      <c r="C657" s="3" t="s">
        <v>129</v>
      </c>
      <c r="D657" s="4">
        <v>45684.0</v>
      </c>
      <c r="E657" s="3">
        <v>16.0</v>
      </c>
      <c r="F657" s="5">
        <v>2.0</v>
      </c>
      <c r="G657" s="3">
        <v>332.0</v>
      </c>
      <c r="H657" s="3" t="str">
        <f>VLOOKUP(B657,'Currency Table'!$M$3:$N$6,2, FALSE)</f>
        <v>GBP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5.75" hidden="1" customHeight="1">
      <c r="A658" s="3" t="s">
        <v>150</v>
      </c>
      <c r="B658" s="3" t="s">
        <v>128</v>
      </c>
      <c r="C658" s="3" t="s">
        <v>137</v>
      </c>
      <c r="D658" s="4">
        <v>45684.0</v>
      </c>
      <c r="E658" s="3">
        <v>33.0</v>
      </c>
      <c r="F658" s="5">
        <v>5.0</v>
      </c>
      <c r="G658" s="3">
        <v>571.0</v>
      </c>
      <c r="H658" s="3" t="str">
        <f>VLOOKUP(B658,'Currency Table'!$M$3:$N$6,2, FALSE)</f>
        <v>GBP</v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5.75" hidden="1" customHeight="1">
      <c r="A659" s="3" t="s">
        <v>153</v>
      </c>
      <c r="B659" s="3" t="s">
        <v>128</v>
      </c>
      <c r="C659" s="3" t="s">
        <v>137</v>
      </c>
      <c r="D659" s="4">
        <v>45684.0</v>
      </c>
      <c r="E659" s="3">
        <v>23.0</v>
      </c>
      <c r="F659" s="5">
        <v>1.0</v>
      </c>
      <c r="G659" s="3">
        <v>432.0</v>
      </c>
      <c r="H659" s="3" t="str">
        <f>VLOOKUP(B659,'Currency Table'!$M$3:$N$6,2, FALSE)</f>
        <v>GBP</v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5.75" hidden="1" customHeight="1">
      <c r="A660" s="3" t="s">
        <v>191</v>
      </c>
      <c r="B660" s="3" t="s">
        <v>128</v>
      </c>
      <c r="C660" s="3" t="s">
        <v>133</v>
      </c>
      <c r="D660" s="4">
        <v>45684.0</v>
      </c>
      <c r="E660" s="3">
        <v>36.0</v>
      </c>
      <c r="F660" s="5">
        <v>2.0</v>
      </c>
      <c r="G660" s="3">
        <v>576.0</v>
      </c>
      <c r="H660" s="3" t="str">
        <f>VLOOKUP(B660,'Currency Table'!$M$3:$N$6,2, FALSE)</f>
        <v>GBP</v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5.75" hidden="1" customHeight="1">
      <c r="A661" s="3" t="s">
        <v>184</v>
      </c>
      <c r="B661" s="3" t="s">
        <v>128</v>
      </c>
      <c r="C661" s="3" t="s">
        <v>135</v>
      </c>
      <c r="D661" s="4">
        <v>45684.0</v>
      </c>
      <c r="E661" s="3">
        <v>61.0</v>
      </c>
      <c r="F661" s="5">
        <v>1.0</v>
      </c>
      <c r="G661" s="3">
        <v>978.0</v>
      </c>
      <c r="H661" s="3" t="str">
        <f>VLOOKUP(B661,'Currency Table'!$M$3:$N$6,2, FALSE)</f>
        <v>GBP</v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5.75" hidden="1" customHeight="1">
      <c r="A662" s="3" t="s">
        <v>154</v>
      </c>
      <c r="B662" s="3" t="s">
        <v>128</v>
      </c>
      <c r="C662" s="3" t="s">
        <v>131</v>
      </c>
      <c r="D662" s="4">
        <v>45684.0</v>
      </c>
      <c r="E662" s="3">
        <v>19.0</v>
      </c>
      <c r="F662" s="5">
        <v>1.0</v>
      </c>
      <c r="G662" s="3">
        <v>313.0</v>
      </c>
      <c r="H662" s="3" t="str">
        <f>VLOOKUP(B662,'Currency Table'!$M$3:$N$6,2, FALSE)</f>
        <v>GBP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5.75" hidden="1" customHeight="1">
      <c r="A663" s="3" t="s">
        <v>157</v>
      </c>
      <c r="B663" s="3" t="s">
        <v>128</v>
      </c>
      <c r="C663" s="3" t="s">
        <v>137</v>
      </c>
      <c r="D663" s="4">
        <v>45684.0</v>
      </c>
      <c r="E663" s="3">
        <v>39.0</v>
      </c>
      <c r="F663" s="5">
        <v>1.0</v>
      </c>
      <c r="G663" s="3">
        <v>640.0</v>
      </c>
      <c r="H663" s="3" t="str">
        <f>VLOOKUP(B663,'Currency Table'!$M$3:$N$6,2, FALSE)</f>
        <v>GBP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5.75" hidden="1" customHeight="1">
      <c r="A664" s="3" t="s">
        <v>200</v>
      </c>
      <c r="B664" s="3" t="s">
        <v>128</v>
      </c>
      <c r="C664" s="3" t="s">
        <v>135</v>
      </c>
      <c r="D664" s="4">
        <v>45684.0</v>
      </c>
      <c r="E664" s="3">
        <v>31.0</v>
      </c>
      <c r="F664" s="5">
        <v>4.0</v>
      </c>
      <c r="G664" s="3">
        <v>565.0</v>
      </c>
      <c r="H664" s="3" t="str">
        <f>VLOOKUP(B664,'Currency Table'!$M$3:$N$6,2, FALSE)</f>
        <v>GBP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5.75" hidden="1" customHeight="1">
      <c r="A665" s="3" t="s">
        <v>217</v>
      </c>
      <c r="B665" s="3" t="s">
        <v>128</v>
      </c>
      <c r="C665" s="3" t="s">
        <v>135</v>
      </c>
      <c r="D665" s="4">
        <v>45684.0</v>
      </c>
      <c r="E665" s="3">
        <v>10.0</v>
      </c>
      <c r="F665" s="5">
        <v>4.0</v>
      </c>
      <c r="G665" s="3">
        <v>154.0</v>
      </c>
      <c r="H665" s="3" t="str">
        <f>VLOOKUP(B665,'Currency Table'!$M$3:$N$6,2, FALSE)</f>
        <v>GBP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5.75" hidden="1" customHeight="1">
      <c r="A666" s="3" t="s">
        <v>241</v>
      </c>
      <c r="B666" s="3" t="s">
        <v>128</v>
      </c>
      <c r="C666" s="3" t="s">
        <v>129</v>
      </c>
      <c r="D666" s="4">
        <v>45684.0</v>
      </c>
      <c r="E666" s="3">
        <v>51.0</v>
      </c>
      <c r="F666" s="5">
        <v>0.0</v>
      </c>
      <c r="G666" s="3">
        <v>804.0</v>
      </c>
      <c r="H666" s="3" t="str">
        <f>VLOOKUP(B666,'Currency Table'!$M$3:$N$6,2, FALSE)</f>
        <v>GBP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5.75" hidden="1" customHeight="1">
      <c r="A667" s="3" t="s">
        <v>165</v>
      </c>
      <c r="B667" s="3" t="s">
        <v>128</v>
      </c>
      <c r="C667" s="3" t="s">
        <v>137</v>
      </c>
      <c r="D667" s="4">
        <v>45684.0</v>
      </c>
      <c r="E667" s="3">
        <v>15.0</v>
      </c>
      <c r="F667" s="5">
        <v>4.0</v>
      </c>
      <c r="G667" s="3">
        <v>161.0</v>
      </c>
      <c r="H667" s="3" t="str">
        <f>VLOOKUP(B667,'Currency Table'!$M$3:$N$6,2, FALSE)</f>
        <v>GBP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5.75" hidden="1" customHeight="1">
      <c r="A668" s="3" t="s">
        <v>160</v>
      </c>
      <c r="B668" s="3" t="s">
        <v>128</v>
      </c>
      <c r="C668" s="3" t="s">
        <v>131</v>
      </c>
      <c r="D668" s="4">
        <v>45684.0</v>
      </c>
      <c r="E668" s="3">
        <v>50.0</v>
      </c>
      <c r="F668" s="5">
        <v>1.0</v>
      </c>
      <c r="G668" s="3">
        <v>880.0</v>
      </c>
      <c r="H668" s="3" t="str">
        <f>VLOOKUP(B668,'Currency Table'!$M$3:$N$6,2, FALSE)</f>
        <v>GBP</v>
      </c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5.75" hidden="1" customHeight="1">
      <c r="A669" s="3" t="s">
        <v>158</v>
      </c>
      <c r="B669" s="3" t="s">
        <v>128</v>
      </c>
      <c r="C669" s="3" t="s">
        <v>145</v>
      </c>
      <c r="D669" s="4">
        <v>45684.0</v>
      </c>
      <c r="E669" s="3">
        <v>36.0</v>
      </c>
      <c r="F669" s="5">
        <v>5.0</v>
      </c>
      <c r="G669" s="3">
        <v>578.0</v>
      </c>
      <c r="H669" s="3" t="str">
        <f>VLOOKUP(B669,'Currency Table'!$M$3:$N$6,2, FALSE)</f>
        <v>GBP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5.75" hidden="1" customHeight="1">
      <c r="A670" s="3" t="s">
        <v>189</v>
      </c>
      <c r="B670" s="3" t="s">
        <v>128</v>
      </c>
      <c r="C670" s="3" t="s">
        <v>129</v>
      </c>
      <c r="D670" s="4">
        <v>45684.0</v>
      </c>
      <c r="E670" s="3">
        <v>49.0</v>
      </c>
      <c r="F670" s="5">
        <v>6.0</v>
      </c>
      <c r="G670" s="3">
        <v>744.0</v>
      </c>
      <c r="H670" s="3" t="str">
        <f>VLOOKUP(B670,'Currency Table'!$M$3:$N$6,2, FALSE)</f>
        <v>GBP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5.75" hidden="1" customHeight="1">
      <c r="A671" s="3" t="s">
        <v>162</v>
      </c>
      <c r="B671" s="3" t="s">
        <v>128</v>
      </c>
      <c r="C671" s="3" t="s">
        <v>131</v>
      </c>
      <c r="D671" s="4">
        <v>45684.0</v>
      </c>
      <c r="E671" s="3">
        <v>67.0</v>
      </c>
      <c r="F671" s="5">
        <v>4.0</v>
      </c>
      <c r="G671" s="3">
        <v>921.0</v>
      </c>
      <c r="H671" s="3" t="str">
        <f>VLOOKUP(B671,'Currency Table'!$M$3:$N$6,2, FALSE)</f>
        <v>GBP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5.75" hidden="1" customHeight="1">
      <c r="A672" s="3" t="s">
        <v>221</v>
      </c>
      <c r="B672" s="3" t="s">
        <v>128</v>
      </c>
      <c r="C672" s="3" t="s">
        <v>135</v>
      </c>
      <c r="D672" s="4">
        <v>45684.0</v>
      </c>
      <c r="E672" s="3">
        <v>66.0</v>
      </c>
      <c r="F672" s="5">
        <v>2.0</v>
      </c>
      <c r="G672" s="3">
        <v>1048.0</v>
      </c>
      <c r="H672" s="3" t="str">
        <f>VLOOKUP(B672,'Currency Table'!$M$3:$N$6,2, FALSE)</f>
        <v>GBP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5.75" hidden="1" customHeight="1">
      <c r="A673" s="3" t="s">
        <v>172</v>
      </c>
      <c r="B673" s="3" t="s">
        <v>128</v>
      </c>
      <c r="C673" s="3" t="s">
        <v>137</v>
      </c>
      <c r="D673" s="4">
        <v>45684.0</v>
      </c>
      <c r="E673" s="3">
        <v>18.0</v>
      </c>
      <c r="F673" s="5">
        <v>4.0</v>
      </c>
      <c r="G673" s="3">
        <v>284.0</v>
      </c>
      <c r="H673" s="3" t="str">
        <f>VLOOKUP(B673,'Currency Table'!$M$3:$N$6,2, FALSE)</f>
        <v>GBP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5.75" hidden="1" customHeight="1">
      <c r="A674" s="3" t="s">
        <v>159</v>
      </c>
      <c r="B674" s="3" t="s">
        <v>128</v>
      </c>
      <c r="C674" s="3" t="s">
        <v>145</v>
      </c>
      <c r="D674" s="4">
        <v>45684.0</v>
      </c>
      <c r="E674" s="3">
        <v>41.0</v>
      </c>
      <c r="F674" s="5">
        <v>0.0</v>
      </c>
      <c r="G674" s="3">
        <v>650.0</v>
      </c>
      <c r="H674" s="3" t="str">
        <f>VLOOKUP(B674,'Currency Table'!$M$3:$N$6,2, FALSE)</f>
        <v>GBP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5.75" hidden="1" customHeight="1">
      <c r="A675" s="3" t="s">
        <v>185</v>
      </c>
      <c r="B675" s="3" t="s">
        <v>128</v>
      </c>
      <c r="C675" s="3" t="s">
        <v>131</v>
      </c>
      <c r="D675" s="4">
        <v>45684.0</v>
      </c>
      <c r="E675" s="3">
        <v>49.0</v>
      </c>
      <c r="F675" s="5">
        <v>5.0</v>
      </c>
      <c r="G675" s="3">
        <v>788.0</v>
      </c>
      <c r="H675" s="3" t="str">
        <f>VLOOKUP(B675,'Currency Table'!$M$3:$N$6,2, FALSE)</f>
        <v>GBP</v>
      </c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5.75" hidden="1" customHeight="1">
      <c r="A676" s="3" t="s">
        <v>170</v>
      </c>
      <c r="B676" s="3" t="s">
        <v>128</v>
      </c>
      <c r="C676" s="3" t="s">
        <v>145</v>
      </c>
      <c r="D676" s="4">
        <v>45684.0</v>
      </c>
      <c r="E676" s="3">
        <v>59.0</v>
      </c>
      <c r="F676" s="5">
        <v>2.0</v>
      </c>
      <c r="G676" s="3">
        <v>845.0</v>
      </c>
      <c r="H676" s="3" t="str">
        <f>VLOOKUP(B676,'Currency Table'!$M$3:$N$6,2, FALSE)</f>
        <v>GBP</v>
      </c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5.75" hidden="1" customHeight="1">
      <c r="A677" s="3" t="s">
        <v>179</v>
      </c>
      <c r="B677" s="3" t="s">
        <v>128</v>
      </c>
      <c r="C677" s="3" t="s">
        <v>137</v>
      </c>
      <c r="D677" s="4">
        <v>45684.0</v>
      </c>
      <c r="E677" s="3">
        <v>65.0</v>
      </c>
      <c r="F677" s="5">
        <v>1.0</v>
      </c>
      <c r="G677" s="3">
        <v>914.0</v>
      </c>
      <c r="H677" s="3" t="str">
        <f>VLOOKUP(B677,'Currency Table'!$M$3:$N$6,2, FALSE)</f>
        <v>GBP</v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5.75" hidden="1" customHeight="1">
      <c r="A678" s="3" t="s">
        <v>202</v>
      </c>
      <c r="B678" s="3" t="s">
        <v>128</v>
      </c>
      <c r="C678" s="3" t="s">
        <v>131</v>
      </c>
      <c r="D678" s="4">
        <v>45684.0</v>
      </c>
      <c r="E678" s="3">
        <v>29.0</v>
      </c>
      <c r="F678" s="5">
        <v>1.0</v>
      </c>
      <c r="G678" s="3">
        <v>344.0</v>
      </c>
      <c r="H678" s="3" t="str">
        <f>VLOOKUP(B678,'Currency Table'!$M$3:$N$6,2, FALSE)</f>
        <v>GBP</v>
      </c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5.75" hidden="1" customHeight="1">
      <c r="A679" s="3" t="s">
        <v>175</v>
      </c>
      <c r="B679" s="3" t="s">
        <v>128</v>
      </c>
      <c r="C679" s="3" t="s">
        <v>145</v>
      </c>
      <c r="D679" s="4">
        <v>45684.0</v>
      </c>
      <c r="E679" s="3">
        <v>13.0</v>
      </c>
      <c r="F679" s="5">
        <v>4.0</v>
      </c>
      <c r="G679" s="3">
        <v>206.0</v>
      </c>
      <c r="H679" s="3" t="str">
        <f>VLOOKUP(B679,'Currency Table'!$M$3:$N$6,2, FALSE)</f>
        <v>GBP</v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5.75" hidden="1" customHeight="1">
      <c r="A680" s="3" t="s">
        <v>180</v>
      </c>
      <c r="B680" s="3" t="s">
        <v>128</v>
      </c>
      <c r="C680" s="3" t="s">
        <v>137</v>
      </c>
      <c r="D680" s="4">
        <v>45684.0</v>
      </c>
      <c r="E680" s="3">
        <v>50.0</v>
      </c>
      <c r="F680" s="5">
        <v>2.0</v>
      </c>
      <c r="G680" s="3">
        <v>757.0</v>
      </c>
      <c r="H680" s="3" t="str">
        <f>VLOOKUP(B680,'Currency Table'!$M$3:$N$6,2, FALSE)</f>
        <v>GBP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5.75" hidden="1" customHeight="1">
      <c r="A681" s="3" t="s">
        <v>196</v>
      </c>
      <c r="B681" s="3" t="s">
        <v>128</v>
      </c>
      <c r="C681" s="3" t="s">
        <v>129</v>
      </c>
      <c r="D681" s="4">
        <v>45684.0</v>
      </c>
      <c r="E681" s="3">
        <v>10.0</v>
      </c>
      <c r="F681" s="5">
        <v>2.0</v>
      </c>
      <c r="G681" s="3">
        <v>158.0</v>
      </c>
      <c r="H681" s="3" t="str">
        <f>VLOOKUP(B681,'Currency Table'!$M$3:$N$6,2, FALSE)</f>
        <v>GBP</v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5.75" hidden="1" customHeight="1">
      <c r="A682" s="3" t="s">
        <v>183</v>
      </c>
      <c r="B682" s="3" t="s">
        <v>128</v>
      </c>
      <c r="C682" s="3" t="s">
        <v>137</v>
      </c>
      <c r="D682" s="4">
        <v>45684.0</v>
      </c>
      <c r="E682" s="3">
        <v>64.0</v>
      </c>
      <c r="F682" s="5">
        <v>0.0</v>
      </c>
      <c r="G682" s="3">
        <v>956.0</v>
      </c>
      <c r="H682" s="3" t="str">
        <f>VLOOKUP(B682,'Currency Table'!$M$3:$N$6,2, FALSE)</f>
        <v>GBP</v>
      </c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5.75" hidden="1" customHeight="1">
      <c r="A683" s="3" t="s">
        <v>176</v>
      </c>
      <c r="B683" s="3" t="s">
        <v>128</v>
      </c>
      <c r="C683" s="3" t="s">
        <v>145</v>
      </c>
      <c r="D683" s="4">
        <v>45684.0</v>
      </c>
      <c r="E683" s="3">
        <v>60.0</v>
      </c>
      <c r="F683" s="5">
        <v>0.0</v>
      </c>
      <c r="G683" s="3">
        <v>768.0</v>
      </c>
      <c r="H683" s="3" t="str">
        <f>VLOOKUP(B683,'Currency Table'!$M$3:$N$6,2, FALSE)</f>
        <v>GBP</v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5.75" hidden="1" customHeight="1">
      <c r="A684" s="3" t="s">
        <v>204</v>
      </c>
      <c r="B684" s="3" t="s">
        <v>128</v>
      </c>
      <c r="C684" s="3" t="s">
        <v>133</v>
      </c>
      <c r="D684" s="4">
        <v>45684.0</v>
      </c>
      <c r="E684" s="3">
        <v>13.0</v>
      </c>
      <c r="F684" s="5">
        <v>0.0</v>
      </c>
      <c r="G684" s="3">
        <v>232.0</v>
      </c>
      <c r="H684" s="3" t="str">
        <f>VLOOKUP(B684,'Currency Table'!$M$3:$N$6,2, FALSE)</f>
        <v>GBP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5.75" hidden="1" customHeight="1">
      <c r="A685" s="3" t="s">
        <v>205</v>
      </c>
      <c r="B685" s="3" t="s">
        <v>128</v>
      </c>
      <c r="C685" s="3" t="s">
        <v>131</v>
      </c>
      <c r="D685" s="4">
        <v>45684.0</v>
      </c>
      <c r="E685" s="3">
        <v>47.0</v>
      </c>
      <c r="F685" s="5">
        <v>4.0</v>
      </c>
      <c r="G685" s="3">
        <v>760.0</v>
      </c>
      <c r="H685" s="3" t="str">
        <f>VLOOKUP(B685,'Currency Table'!$M$3:$N$6,2, FALSE)</f>
        <v>GBP</v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5.75" hidden="1" customHeight="1">
      <c r="A686" s="3" t="s">
        <v>206</v>
      </c>
      <c r="B686" s="3" t="s">
        <v>128</v>
      </c>
      <c r="C686" s="3" t="s">
        <v>133</v>
      </c>
      <c r="D686" s="4">
        <v>45684.0</v>
      </c>
      <c r="E686" s="3">
        <v>35.0</v>
      </c>
      <c r="F686" s="5">
        <v>7.0</v>
      </c>
      <c r="G686" s="3">
        <v>692.0</v>
      </c>
      <c r="H686" s="3" t="str">
        <f>VLOOKUP(B686,'Currency Table'!$M$3:$N$6,2, FALSE)</f>
        <v>GBP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5.75" hidden="1" customHeight="1">
      <c r="A687" s="3" t="s">
        <v>193</v>
      </c>
      <c r="B687" s="3" t="s">
        <v>128</v>
      </c>
      <c r="C687" s="3" t="s">
        <v>137</v>
      </c>
      <c r="D687" s="4">
        <v>45684.0</v>
      </c>
      <c r="E687" s="3">
        <v>61.0</v>
      </c>
      <c r="F687" s="5">
        <v>5.0</v>
      </c>
      <c r="G687" s="3">
        <v>1017.0</v>
      </c>
      <c r="H687" s="3" t="str">
        <f>VLOOKUP(B687,'Currency Table'!$M$3:$N$6,2, FALSE)</f>
        <v>GBP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5.75" hidden="1" customHeight="1">
      <c r="A688" s="3" t="s">
        <v>188</v>
      </c>
      <c r="B688" s="3" t="s">
        <v>128</v>
      </c>
      <c r="C688" s="3" t="s">
        <v>145</v>
      </c>
      <c r="D688" s="4">
        <v>45684.0</v>
      </c>
      <c r="E688" s="3">
        <v>29.0</v>
      </c>
      <c r="F688" s="5">
        <v>4.0</v>
      </c>
      <c r="G688" s="3">
        <v>415.0</v>
      </c>
      <c r="H688" s="3" t="str">
        <f>VLOOKUP(B688,'Currency Table'!$M$3:$N$6,2, FALSE)</f>
        <v>GBP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5.75" hidden="1" customHeight="1">
      <c r="A689" s="3" t="s">
        <v>199</v>
      </c>
      <c r="B689" s="3" t="s">
        <v>128</v>
      </c>
      <c r="C689" s="3" t="s">
        <v>129</v>
      </c>
      <c r="D689" s="4">
        <v>45684.0</v>
      </c>
      <c r="E689" s="3">
        <v>19.0</v>
      </c>
      <c r="F689" s="5">
        <v>1.0</v>
      </c>
      <c r="G689" s="3">
        <v>286.0</v>
      </c>
      <c r="H689" s="3" t="str">
        <f>VLOOKUP(B689,'Currency Table'!$M$3:$N$6,2, FALSE)</f>
        <v>GBP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5.75" hidden="1" customHeight="1">
      <c r="A690" s="3" t="s">
        <v>242</v>
      </c>
      <c r="B690" s="3" t="s">
        <v>128</v>
      </c>
      <c r="C690" s="3" t="s">
        <v>133</v>
      </c>
      <c r="D690" s="4">
        <v>45684.0</v>
      </c>
      <c r="E690" s="3">
        <v>23.0</v>
      </c>
      <c r="F690" s="5">
        <v>0.0</v>
      </c>
      <c r="G690" s="3">
        <v>291.0</v>
      </c>
      <c r="H690" s="3" t="str">
        <f>VLOOKUP(B690,'Currency Table'!$M$3:$N$6,2, FALSE)</f>
        <v>GBP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5.75" hidden="1" customHeight="1">
      <c r="A691" s="3" t="s">
        <v>220</v>
      </c>
      <c r="B691" s="3" t="s">
        <v>128</v>
      </c>
      <c r="C691" s="3" t="s">
        <v>129</v>
      </c>
      <c r="D691" s="4">
        <v>45684.0</v>
      </c>
      <c r="E691" s="3">
        <v>59.0</v>
      </c>
      <c r="F691" s="5">
        <v>1.0</v>
      </c>
      <c r="G691" s="3">
        <v>846.0</v>
      </c>
      <c r="H691" s="3" t="str">
        <f>VLOOKUP(B691,'Currency Table'!$M$3:$N$6,2, FALSE)</f>
        <v>GBP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5.75" hidden="1" customHeight="1">
      <c r="A692" s="3" t="s">
        <v>243</v>
      </c>
      <c r="B692" s="3" t="s">
        <v>128</v>
      </c>
      <c r="C692" s="3" t="s">
        <v>137</v>
      </c>
      <c r="D692" s="4">
        <v>45684.0</v>
      </c>
      <c r="E692" s="3">
        <v>17.0</v>
      </c>
      <c r="F692" s="5">
        <v>1.0</v>
      </c>
      <c r="G692" s="3">
        <v>459.0</v>
      </c>
      <c r="H692" s="3" t="str">
        <f>VLOOKUP(B692,'Currency Table'!$M$3:$N$6,2, FALSE)</f>
        <v>GBP</v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5.75" hidden="1" customHeight="1">
      <c r="A693" s="3" t="s">
        <v>190</v>
      </c>
      <c r="B693" s="3" t="s">
        <v>128</v>
      </c>
      <c r="C693" s="3" t="s">
        <v>145</v>
      </c>
      <c r="D693" s="4">
        <v>45684.0</v>
      </c>
      <c r="E693" s="3">
        <v>56.0</v>
      </c>
      <c r="F693" s="5">
        <v>3.0</v>
      </c>
      <c r="G693" s="3">
        <v>716.0</v>
      </c>
      <c r="H693" s="3" t="str">
        <f>VLOOKUP(B693,'Currency Table'!$M$3:$N$6,2, FALSE)</f>
        <v>GBP</v>
      </c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5.75" hidden="1" customHeight="1">
      <c r="A694" s="3" t="s">
        <v>208</v>
      </c>
      <c r="B694" s="3" t="s">
        <v>128</v>
      </c>
      <c r="C694" s="3" t="s">
        <v>133</v>
      </c>
      <c r="D694" s="4">
        <v>45684.0</v>
      </c>
      <c r="E694" s="3">
        <v>63.0</v>
      </c>
      <c r="F694" s="5">
        <v>1.0</v>
      </c>
      <c r="G694" s="3">
        <v>1035.0</v>
      </c>
      <c r="H694" s="3" t="str">
        <f>VLOOKUP(B694,'Currency Table'!$M$3:$N$6,2, FALSE)</f>
        <v>GBP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5.75" hidden="1" customHeight="1">
      <c r="A695" s="3" t="s">
        <v>203</v>
      </c>
      <c r="B695" s="3" t="s">
        <v>128</v>
      </c>
      <c r="C695" s="3" t="s">
        <v>145</v>
      </c>
      <c r="D695" s="4">
        <v>45684.0</v>
      </c>
      <c r="E695" s="3">
        <v>18.0</v>
      </c>
      <c r="F695" s="5">
        <v>0.0</v>
      </c>
      <c r="G695" s="3">
        <v>417.0</v>
      </c>
      <c r="H695" s="3" t="str">
        <f>VLOOKUP(B695,'Currency Table'!$M$3:$N$6,2, FALSE)</f>
        <v>GBP</v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5.75" hidden="1" customHeight="1">
      <c r="A696" s="3" t="s">
        <v>195</v>
      </c>
      <c r="B696" s="3" t="s">
        <v>128</v>
      </c>
      <c r="C696" s="3" t="s">
        <v>137</v>
      </c>
      <c r="D696" s="4">
        <v>45684.0</v>
      </c>
      <c r="E696" s="3">
        <v>63.0</v>
      </c>
      <c r="F696" s="5">
        <v>0.0</v>
      </c>
      <c r="G696" s="3">
        <v>954.0</v>
      </c>
      <c r="H696" s="3" t="str">
        <f>VLOOKUP(B696,'Currency Table'!$M$3:$N$6,2, FALSE)</f>
        <v>GBP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5.75" hidden="1" customHeight="1">
      <c r="A697" s="3" t="s">
        <v>197</v>
      </c>
      <c r="B697" s="3" t="s">
        <v>128</v>
      </c>
      <c r="C697" s="3" t="s">
        <v>137</v>
      </c>
      <c r="D697" s="4">
        <v>45684.0</v>
      </c>
      <c r="E697" s="3">
        <v>46.0</v>
      </c>
      <c r="F697" s="5">
        <v>5.0</v>
      </c>
      <c r="G697" s="3">
        <v>777.0</v>
      </c>
      <c r="H697" s="3" t="str">
        <f>VLOOKUP(B697,'Currency Table'!$M$3:$N$6,2, FALSE)</f>
        <v>GBP</v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5.75" hidden="1" customHeight="1">
      <c r="A698" s="3" t="s">
        <v>235</v>
      </c>
      <c r="B698" s="3" t="s">
        <v>128</v>
      </c>
      <c r="C698" s="3" t="s">
        <v>133</v>
      </c>
      <c r="D698" s="4">
        <v>45684.0</v>
      </c>
      <c r="E698" s="3">
        <v>47.0</v>
      </c>
      <c r="F698" s="5">
        <v>2.0</v>
      </c>
      <c r="G698" s="3">
        <v>846.0</v>
      </c>
      <c r="H698" s="3" t="str">
        <f>VLOOKUP(B698,'Currency Table'!$M$3:$N$6,2, FALSE)</f>
        <v>GBP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5.75" hidden="1" customHeight="1">
      <c r="A699" s="3" t="s">
        <v>236</v>
      </c>
      <c r="B699" s="3" t="s">
        <v>128</v>
      </c>
      <c r="C699" s="3" t="s">
        <v>133</v>
      </c>
      <c r="D699" s="4">
        <v>45684.0</v>
      </c>
      <c r="E699" s="3">
        <v>16.0</v>
      </c>
      <c r="F699" s="5">
        <v>3.0</v>
      </c>
      <c r="G699" s="3">
        <v>352.0</v>
      </c>
      <c r="H699" s="3" t="str">
        <f>VLOOKUP(B699,'Currency Table'!$M$3:$N$6,2, FALSE)</f>
        <v>GBP</v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5.75" hidden="1" customHeight="1">
      <c r="A700" s="3" t="s">
        <v>224</v>
      </c>
      <c r="B700" s="3" t="s">
        <v>244</v>
      </c>
      <c r="C700" s="3" t="s">
        <v>245</v>
      </c>
      <c r="D700" s="4">
        <v>45663.0</v>
      </c>
      <c r="E700" s="3">
        <v>15.0</v>
      </c>
      <c r="F700" s="5">
        <v>0.0</v>
      </c>
      <c r="G700" s="3">
        <v>154.0</v>
      </c>
      <c r="H700" s="3" t="str">
        <f>VLOOKUP(B700,'Currency Table'!$M$3:$N$6,2, FALSE)</f>
        <v>EUR</v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5.75" hidden="1" customHeight="1">
      <c r="A701" s="3" t="s">
        <v>237</v>
      </c>
      <c r="B701" s="3" t="s">
        <v>244</v>
      </c>
      <c r="C701" s="3" t="s">
        <v>246</v>
      </c>
      <c r="D701" s="4">
        <v>45663.0</v>
      </c>
      <c r="E701" s="3">
        <v>39.0</v>
      </c>
      <c r="F701" s="5">
        <v>0.0</v>
      </c>
      <c r="G701" s="3">
        <v>693.0</v>
      </c>
      <c r="H701" s="3" t="str">
        <f>VLOOKUP(B701,'Currency Table'!$M$3:$N$6,2, FALSE)</f>
        <v>EUR</v>
      </c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5.75" hidden="1" customHeight="1">
      <c r="A702" s="3" t="s">
        <v>247</v>
      </c>
      <c r="B702" s="3" t="s">
        <v>244</v>
      </c>
      <c r="C702" s="3" t="s">
        <v>248</v>
      </c>
      <c r="D702" s="4">
        <v>45663.0</v>
      </c>
      <c r="E702" s="3">
        <v>21.0</v>
      </c>
      <c r="F702" s="5">
        <v>2.0</v>
      </c>
      <c r="G702" s="3">
        <v>342.0</v>
      </c>
      <c r="H702" s="3" t="str">
        <f>VLOOKUP(B702,'Currency Table'!$M$3:$N$6,2, FALSE)</f>
        <v>EUR</v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5.75" hidden="1" customHeight="1">
      <c r="A703" s="3" t="s">
        <v>223</v>
      </c>
      <c r="B703" s="3" t="s">
        <v>244</v>
      </c>
      <c r="C703" s="3" t="s">
        <v>246</v>
      </c>
      <c r="D703" s="4">
        <v>45663.0</v>
      </c>
      <c r="E703" s="3">
        <v>13.0</v>
      </c>
      <c r="F703" s="5">
        <v>1.0</v>
      </c>
      <c r="G703" s="3">
        <v>249.0</v>
      </c>
      <c r="H703" s="3" t="str">
        <f>VLOOKUP(B703,'Currency Table'!$M$3:$N$6,2, FALSE)</f>
        <v>EUR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5.75" hidden="1" customHeight="1">
      <c r="A704" s="3" t="s">
        <v>240</v>
      </c>
      <c r="B704" s="3" t="s">
        <v>244</v>
      </c>
      <c r="C704" s="3" t="s">
        <v>246</v>
      </c>
      <c r="D704" s="4">
        <v>45663.0</v>
      </c>
      <c r="E704" s="3">
        <v>63.0</v>
      </c>
      <c r="F704" s="5">
        <v>2.0</v>
      </c>
      <c r="G704" s="3">
        <v>972.0</v>
      </c>
      <c r="H704" s="3" t="str">
        <f>VLOOKUP(B704,'Currency Table'!$M$3:$N$6,2, FALSE)</f>
        <v>EUR</v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5.75" hidden="1" customHeight="1">
      <c r="A705" s="3" t="s">
        <v>211</v>
      </c>
      <c r="B705" s="3" t="s">
        <v>244</v>
      </c>
      <c r="C705" s="3" t="s">
        <v>248</v>
      </c>
      <c r="D705" s="4">
        <v>45663.0</v>
      </c>
      <c r="E705" s="3">
        <v>60.0</v>
      </c>
      <c r="F705" s="5">
        <v>5.0</v>
      </c>
      <c r="G705" s="3">
        <v>795.0</v>
      </c>
      <c r="H705" s="3" t="str">
        <f>VLOOKUP(B705,'Currency Table'!$M$3:$N$6,2, FALSE)</f>
        <v>EUR</v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5.75" hidden="1" customHeight="1">
      <c r="A706" s="3" t="s">
        <v>249</v>
      </c>
      <c r="B706" s="3" t="s">
        <v>244</v>
      </c>
      <c r="C706" s="3" t="s">
        <v>248</v>
      </c>
      <c r="D706" s="4">
        <v>45663.0</v>
      </c>
      <c r="E706" s="3">
        <v>67.0</v>
      </c>
      <c r="F706" s="5">
        <v>5.0</v>
      </c>
      <c r="G706" s="3">
        <v>1011.0</v>
      </c>
      <c r="H706" s="3" t="str">
        <f>VLOOKUP(B706,'Currency Table'!$M$3:$N$6,2, FALSE)</f>
        <v>EUR</v>
      </c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5.75" hidden="1" customHeight="1">
      <c r="A707" s="3" t="s">
        <v>250</v>
      </c>
      <c r="B707" s="3" t="s">
        <v>244</v>
      </c>
      <c r="C707" s="3" t="s">
        <v>251</v>
      </c>
      <c r="D707" s="4">
        <v>45663.0</v>
      </c>
      <c r="E707" s="3">
        <v>38.0</v>
      </c>
      <c r="F707" s="5">
        <v>4.0</v>
      </c>
      <c r="G707" s="3">
        <v>670.0</v>
      </c>
      <c r="H707" s="3" t="str">
        <f>VLOOKUP(B707,'Currency Table'!$M$3:$N$6,2, FALSE)</f>
        <v>EUR</v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5.75" hidden="1" customHeight="1">
      <c r="A708" s="3" t="s">
        <v>252</v>
      </c>
      <c r="B708" s="3" t="s">
        <v>244</v>
      </c>
      <c r="C708" s="3" t="s">
        <v>248</v>
      </c>
      <c r="D708" s="4">
        <v>45663.0</v>
      </c>
      <c r="E708" s="3">
        <v>21.0</v>
      </c>
      <c r="F708" s="5">
        <v>4.0</v>
      </c>
      <c r="G708" s="3">
        <v>342.0</v>
      </c>
      <c r="H708" s="3" t="str">
        <f>VLOOKUP(B708,'Currency Table'!$M$3:$N$6,2, FALSE)</f>
        <v>EUR</v>
      </c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5.75" hidden="1" customHeight="1">
      <c r="A709" s="3" t="s">
        <v>210</v>
      </c>
      <c r="B709" s="3" t="s">
        <v>244</v>
      </c>
      <c r="C709" s="3" t="s">
        <v>248</v>
      </c>
      <c r="D709" s="4">
        <v>45663.0</v>
      </c>
      <c r="E709" s="3">
        <v>12.0</v>
      </c>
      <c r="F709" s="5">
        <v>3.0</v>
      </c>
      <c r="G709" s="3">
        <v>220.0</v>
      </c>
      <c r="H709" s="3" t="str">
        <f>VLOOKUP(B709,'Currency Table'!$M$3:$N$6,2, FALSE)</f>
        <v>EUR</v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5.75" hidden="1" customHeight="1">
      <c r="A710" s="3" t="s">
        <v>253</v>
      </c>
      <c r="B710" s="3" t="s">
        <v>244</v>
      </c>
      <c r="C710" s="3" t="s">
        <v>251</v>
      </c>
      <c r="D710" s="4">
        <v>45663.0</v>
      </c>
      <c r="E710" s="3">
        <v>55.0</v>
      </c>
      <c r="F710" s="5">
        <v>3.0</v>
      </c>
      <c r="G710" s="3">
        <v>865.0</v>
      </c>
      <c r="H710" s="3" t="str">
        <f>VLOOKUP(B710,'Currency Table'!$M$3:$N$6,2, FALSE)</f>
        <v>EUR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5.75" hidden="1" customHeight="1">
      <c r="A711" s="3" t="s">
        <v>254</v>
      </c>
      <c r="B711" s="3" t="s">
        <v>244</v>
      </c>
      <c r="C711" s="3" t="s">
        <v>245</v>
      </c>
      <c r="D711" s="4">
        <v>45663.0</v>
      </c>
      <c r="E711" s="3">
        <v>51.0</v>
      </c>
      <c r="F711" s="5">
        <v>1.0</v>
      </c>
      <c r="G711" s="3">
        <v>832.0</v>
      </c>
      <c r="H711" s="3" t="str">
        <f>VLOOKUP(B711,'Currency Table'!$M$3:$N$6,2, FALSE)</f>
        <v>EUR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5.75" hidden="1" customHeight="1">
      <c r="A712" s="3" t="s">
        <v>255</v>
      </c>
      <c r="B712" s="3" t="s">
        <v>244</v>
      </c>
      <c r="C712" s="3" t="s">
        <v>256</v>
      </c>
      <c r="D712" s="4">
        <v>45663.0</v>
      </c>
      <c r="E712" s="3">
        <v>21.0</v>
      </c>
      <c r="F712" s="5">
        <v>2.0</v>
      </c>
      <c r="G712" s="3">
        <v>420.0</v>
      </c>
      <c r="H712" s="3" t="str">
        <f>VLOOKUP(B712,'Currency Table'!$M$3:$N$6,2, FALSE)</f>
        <v>EUR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5.75" hidden="1" customHeight="1">
      <c r="A713" s="3" t="s">
        <v>257</v>
      </c>
      <c r="B713" s="3" t="s">
        <v>244</v>
      </c>
      <c r="C713" s="3" t="s">
        <v>245</v>
      </c>
      <c r="D713" s="4">
        <v>45663.0</v>
      </c>
      <c r="E713" s="3">
        <v>31.0</v>
      </c>
      <c r="F713" s="5">
        <v>2.0</v>
      </c>
      <c r="G713" s="3">
        <v>554.0</v>
      </c>
      <c r="H713" s="3" t="str">
        <f>VLOOKUP(B713,'Currency Table'!$M$3:$N$6,2, FALSE)</f>
        <v>EUR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5.75" hidden="1" customHeight="1">
      <c r="A714" s="3" t="s">
        <v>258</v>
      </c>
      <c r="B714" s="3" t="s">
        <v>244</v>
      </c>
      <c r="C714" s="3" t="s">
        <v>256</v>
      </c>
      <c r="D714" s="4">
        <v>45663.0</v>
      </c>
      <c r="E714" s="3">
        <v>59.0</v>
      </c>
      <c r="F714" s="5">
        <v>4.0</v>
      </c>
      <c r="G714" s="3">
        <v>714.0</v>
      </c>
      <c r="H714" s="3" t="str">
        <f>VLOOKUP(B714,'Currency Table'!$M$3:$N$6,2, FALSE)</f>
        <v>EUR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5.75" hidden="1" customHeight="1">
      <c r="A715" s="3" t="s">
        <v>259</v>
      </c>
      <c r="B715" s="3" t="s">
        <v>244</v>
      </c>
      <c r="C715" s="3" t="s">
        <v>248</v>
      </c>
      <c r="D715" s="4">
        <v>45663.0</v>
      </c>
      <c r="E715" s="3">
        <v>39.0</v>
      </c>
      <c r="F715" s="5">
        <v>4.0</v>
      </c>
      <c r="G715" s="3">
        <v>604.0</v>
      </c>
      <c r="H715" s="3" t="str">
        <f>VLOOKUP(B715,'Currency Table'!$M$3:$N$6,2, FALSE)</f>
        <v>EUR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5.75" hidden="1" customHeight="1">
      <c r="A716" s="3" t="s">
        <v>260</v>
      </c>
      <c r="B716" s="3" t="s">
        <v>244</v>
      </c>
      <c r="C716" s="3" t="s">
        <v>246</v>
      </c>
      <c r="D716" s="4">
        <v>45663.0</v>
      </c>
      <c r="E716" s="3">
        <v>34.0</v>
      </c>
      <c r="F716" s="5">
        <v>2.0</v>
      </c>
      <c r="G716" s="3">
        <v>601.0</v>
      </c>
      <c r="H716" s="3" t="str">
        <f>VLOOKUP(B716,'Currency Table'!$M$3:$N$6,2, FALSE)</f>
        <v>EUR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5.75" hidden="1" customHeight="1">
      <c r="A717" s="3" t="s">
        <v>261</v>
      </c>
      <c r="B717" s="3" t="s">
        <v>244</v>
      </c>
      <c r="C717" s="3" t="s">
        <v>256</v>
      </c>
      <c r="D717" s="4">
        <v>45663.0</v>
      </c>
      <c r="E717" s="3">
        <v>49.0</v>
      </c>
      <c r="F717" s="5">
        <v>4.0</v>
      </c>
      <c r="G717" s="3">
        <v>709.0</v>
      </c>
      <c r="H717" s="3" t="str">
        <f>VLOOKUP(B717,'Currency Table'!$M$3:$N$6,2, FALSE)</f>
        <v>EUR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5.75" hidden="1" customHeight="1">
      <c r="A718" s="3" t="s">
        <v>262</v>
      </c>
      <c r="B718" s="3" t="s">
        <v>244</v>
      </c>
      <c r="C718" s="3" t="s">
        <v>256</v>
      </c>
      <c r="D718" s="4">
        <v>45663.0</v>
      </c>
      <c r="E718" s="3">
        <v>44.0</v>
      </c>
      <c r="F718" s="5">
        <v>4.0</v>
      </c>
      <c r="G718" s="3">
        <v>685.0</v>
      </c>
      <c r="H718" s="3" t="str">
        <f>VLOOKUP(B718,'Currency Table'!$M$3:$N$6,2, FALSE)</f>
        <v>EUR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5.75" hidden="1" customHeight="1">
      <c r="A719" s="3" t="s">
        <v>263</v>
      </c>
      <c r="B719" s="3" t="s">
        <v>244</v>
      </c>
      <c r="C719" s="3" t="s">
        <v>248</v>
      </c>
      <c r="D719" s="4">
        <v>45663.0</v>
      </c>
      <c r="E719" s="3">
        <v>13.0</v>
      </c>
      <c r="F719" s="5">
        <v>2.0</v>
      </c>
      <c r="G719" s="3">
        <v>219.0</v>
      </c>
      <c r="H719" s="3" t="str">
        <f>VLOOKUP(B719,'Currency Table'!$M$3:$N$6,2, FALSE)</f>
        <v>EUR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5.75" hidden="1" customHeight="1">
      <c r="A720" s="3" t="s">
        <v>264</v>
      </c>
      <c r="B720" s="3" t="s">
        <v>244</v>
      </c>
      <c r="C720" s="3" t="s">
        <v>251</v>
      </c>
      <c r="D720" s="4">
        <v>45663.0</v>
      </c>
      <c r="E720" s="3">
        <v>13.0</v>
      </c>
      <c r="F720" s="5">
        <v>0.0</v>
      </c>
      <c r="G720" s="3">
        <v>236.0</v>
      </c>
      <c r="H720" s="3" t="str">
        <f>VLOOKUP(B720,'Currency Table'!$M$3:$N$6,2, FALSE)</f>
        <v>EUR</v>
      </c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5.75" hidden="1" customHeight="1">
      <c r="A721" s="3" t="s">
        <v>265</v>
      </c>
      <c r="B721" s="3" t="s">
        <v>244</v>
      </c>
      <c r="C721" s="3" t="s">
        <v>256</v>
      </c>
      <c r="D721" s="4">
        <v>45663.0</v>
      </c>
      <c r="E721" s="3">
        <v>56.0</v>
      </c>
      <c r="F721" s="5">
        <v>5.0</v>
      </c>
      <c r="G721" s="3">
        <v>760.0</v>
      </c>
      <c r="H721" s="3" t="str">
        <f>VLOOKUP(B721,'Currency Table'!$M$3:$N$6,2, FALSE)</f>
        <v>EUR</v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5.75" hidden="1" customHeight="1">
      <c r="A722" s="3" t="s">
        <v>209</v>
      </c>
      <c r="B722" s="3" t="s">
        <v>244</v>
      </c>
      <c r="C722" s="3" t="s">
        <v>248</v>
      </c>
      <c r="D722" s="4">
        <v>45663.0</v>
      </c>
      <c r="E722" s="3">
        <v>30.0</v>
      </c>
      <c r="F722" s="5">
        <v>6.0</v>
      </c>
      <c r="G722" s="3">
        <v>357.0</v>
      </c>
      <c r="H722" s="3" t="str">
        <f>VLOOKUP(B722,'Currency Table'!$M$3:$N$6,2, FALSE)</f>
        <v>EUR</v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5.75" hidden="1" customHeight="1">
      <c r="A723" s="3" t="s">
        <v>226</v>
      </c>
      <c r="B723" s="3" t="s">
        <v>244</v>
      </c>
      <c r="C723" s="3" t="s">
        <v>245</v>
      </c>
      <c r="D723" s="4">
        <v>45663.0</v>
      </c>
      <c r="E723" s="3">
        <v>47.0</v>
      </c>
      <c r="F723" s="5">
        <v>1.0</v>
      </c>
      <c r="G723" s="3">
        <v>707.0</v>
      </c>
      <c r="H723" s="3" t="str">
        <f>VLOOKUP(B723,'Currency Table'!$M$3:$N$6,2, FALSE)</f>
        <v>EUR</v>
      </c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5.75" hidden="1" customHeight="1">
      <c r="A724" s="3" t="s">
        <v>266</v>
      </c>
      <c r="B724" s="3" t="s">
        <v>244</v>
      </c>
      <c r="C724" s="3" t="s">
        <v>246</v>
      </c>
      <c r="D724" s="4">
        <v>45663.0</v>
      </c>
      <c r="E724" s="3">
        <v>48.0</v>
      </c>
      <c r="F724" s="5">
        <v>0.0</v>
      </c>
      <c r="G724" s="3">
        <v>737.0</v>
      </c>
      <c r="H724" s="3" t="str">
        <f>VLOOKUP(B724,'Currency Table'!$M$3:$N$6,2, FALSE)</f>
        <v>EUR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5.75" hidden="1" customHeight="1">
      <c r="A725" s="3" t="s">
        <v>267</v>
      </c>
      <c r="B725" s="3" t="s">
        <v>244</v>
      </c>
      <c r="C725" s="3" t="s">
        <v>256</v>
      </c>
      <c r="D725" s="4">
        <v>45663.0</v>
      </c>
      <c r="E725" s="3">
        <v>55.0</v>
      </c>
      <c r="F725" s="5">
        <v>5.0</v>
      </c>
      <c r="G725" s="3">
        <v>804.0</v>
      </c>
      <c r="H725" s="3" t="str">
        <f>VLOOKUP(B725,'Currency Table'!$M$3:$N$6,2, FALSE)</f>
        <v>EUR</v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5.75" hidden="1" customHeight="1">
      <c r="A726" s="3" t="s">
        <v>230</v>
      </c>
      <c r="B726" s="3" t="s">
        <v>244</v>
      </c>
      <c r="C726" s="3" t="s">
        <v>245</v>
      </c>
      <c r="D726" s="4">
        <v>45663.0</v>
      </c>
      <c r="E726" s="3">
        <v>65.0</v>
      </c>
      <c r="F726" s="5">
        <v>1.0</v>
      </c>
      <c r="G726" s="3">
        <v>954.0</v>
      </c>
      <c r="H726" s="3" t="str">
        <f>VLOOKUP(B726,'Currency Table'!$M$3:$N$6,2, FALSE)</f>
        <v>EUR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5.75" hidden="1" customHeight="1">
      <c r="A727" s="3" t="s">
        <v>268</v>
      </c>
      <c r="B727" s="3" t="s">
        <v>244</v>
      </c>
      <c r="C727" s="3" t="s">
        <v>248</v>
      </c>
      <c r="D727" s="4">
        <v>45663.0</v>
      </c>
      <c r="E727" s="3">
        <v>33.0</v>
      </c>
      <c r="F727" s="5">
        <v>2.0</v>
      </c>
      <c r="G727" s="3">
        <v>694.0</v>
      </c>
      <c r="H727" s="3" t="str">
        <f>VLOOKUP(B727,'Currency Table'!$M$3:$N$6,2, FALSE)</f>
        <v>EUR</v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5.75" hidden="1" customHeight="1">
      <c r="A728" s="3" t="s">
        <v>269</v>
      </c>
      <c r="B728" s="3" t="s">
        <v>244</v>
      </c>
      <c r="C728" s="3" t="s">
        <v>251</v>
      </c>
      <c r="D728" s="4">
        <v>45663.0</v>
      </c>
      <c r="E728" s="3">
        <v>46.0</v>
      </c>
      <c r="F728" s="5">
        <v>1.0</v>
      </c>
      <c r="G728" s="3">
        <v>784.0</v>
      </c>
      <c r="H728" s="3" t="str">
        <f>VLOOKUP(B728,'Currency Table'!$M$3:$N$6,2, FALSE)</f>
        <v>EUR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5.75" hidden="1" customHeight="1">
      <c r="A729" s="3" t="s">
        <v>270</v>
      </c>
      <c r="B729" s="3" t="s">
        <v>244</v>
      </c>
      <c r="C729" s="3" t="s">
        <v>256</v>
      </c>
      <c r="D729" s="4">
        <v>45663.0</v>
      </c>
      <c r="E729" s="3">
        <v>67.0</v>
      </c>
      <c r="F729" s="5">
        <v>3.0</v>
      </c>
      <c r="G729" s="3">
        <v>977.0</v>
      </c>
      <c r="H729" s="3" t="str">
        <f>VLOOKUP(B729,'Currency Table'!$M$3:$N$6,2, FALSE)</f>
        <v>EUR</v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5.75" hidden="1" customHeight="1">
      <c r="A730" s="3" t="s">
        <v>271</v>
      </c>
      <c r="B730" s="3" t="s">
        <v>244</v>
      </c>
      <c r="C730" s="3" t="s">
        <v>251</v>
      </c>
      <c r="D730" s="4">
        <v>45663.0</v>
      </c>
      <c r="E730" s="3">
        <v>36.0</v>
      </c>
      <c r="F730" s="5">
        <v>1.0</v>
      </c>
      <c r="G730" s="3">
        <v>623.0</v>
      </c>
      <c r="H730" s="3" t="str">
        <f>VLOOKUP(B730,'Currency Table'!$M$3:$N$6,2, FALSE)</f>
        <v>EUR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5.75" hidden="1" customHeight="1">
      <c r="A731" s="3" t="s">
        <v>272</v>
      </c>
      <c r="B731" s="3" t="s">
        <v>244</v>
      </c>
      <c r="C731" s="3" t="s">
        <v>256</v>
      </c>
      <c r="D731" s="4">
        <v>45663.0</v>
      </c>
      <c r="E731" s="3">
        <v>18.0</v>
      </c>
      <c r="F731" s="5">
        <v>2.0</v>
      </c>
      <c r="G731" s="3">
        <v>283.0</v>
      </c>
      <c r="H731" s="3" t="str">
        <f>VLOOKUP(B731,'Currency Table'!$M$3:$N$6,2, FALSE)</f>
        <v>EUR</v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5.75" hidden="1" customHeight="1">
      <c r="A732" s="3" t="s">
        <v>225</v>
      </c>
      <c r="B732" s="3" t="s">
        <v>244</v>
      </c>
      <c r="C732" s="3" t="s">
        <v>246</v>
      </c>
      <c r="D732" s="4">
        <v>45663.0</v>
      </c>
      <c r="E732" s="3">
        <v>64.0</v>
      </c>
      <c r="F732" s="5">
        <v>2.0</v>
      </c>
      <c r="G732" s="3">
        <v>961.0</v>
      </c>
      <c r="H732" s="3" t="str">
        <f>VLOOKUP(B732,'Currency Table'!$M$3:$N$6,2, FALSE)</f>
        <v>EUR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5.75" hidden="1" customHeight="1">
      <c r="A733" s="3" t="s">
        <v>238</v>
      </c>
      <c r="B733" s="3" t="s">
        <v>244</v>
      </c>
      <c r="C733" s="3" t="s">
        <v>246</v>
      </c>
      <c r="D733" s="4">
        <v>45663.0</v>
      </c>
      <c r="E733" s="3">
        <v>56.0</v>
      </c>
      <c r="F733" s="5">
        <v>0.0</v>
      </c>
      <c r="G733" s="3">
        <v>811.0</v>
      </c>
      <c r="H733" s="3" t="str">
        <f>VLOOKUP(B733,'Currency Table'!$M$3:$N$6,2, FALSE)</f>
        <v>EUR</v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5.75" hidden="1" customHeight="1">
      <c r="A734" s="3" t="s">
        <v>239</v>
      </c>
      <c r="B734" s="3" t="s">
        <v>244</v>
      </c>
      <c r="C734" s="3" t="s">
        <v>246</v>
      </c>
      <c r="D734" s="4">
        <v>45663.0</v>
      </c>
      <c r="E734" s="3">
        <v>11.0</v>
      </c>
      <c r="F734" s="5">
        <v>5.0</v>
      </c>
      <c r="G734" s="3">
        <v>228.0</v>
      </c>
      <c r="H734" s="3" t="str">
        <f>VLOOKUP(B734,'Currency Table'!$M$3:$N$6,2, FALSE)</f>
        <v>EUR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5.75" hidden="1" customHeight="1">
      <c r="A735" s="3" t="s">
        <v>273</v>
      </c>
      <c r="B735" s="3" t="s">
        <v>244</v>
      </c>
      <c r="C735" s="3" t="s">
        <v>251</v>
      </c>
      <c r="D735" s="4">
        <v>45663.0</v>
      </c>
      <c r="E735" s="3">
        <v>54.0</v>
      </c>
      <c r="F735" s="5">
        <v>3.0</v>
      </c>
      <c r="G735" s="3">
        <v>710.0</v>
      </c>
      <c r="H735" s="3" t="str">
        <f>VLOOKUP(B735,'Currency Table'!$M$3:$N$6,2, FALSE)</f>
        <v>EUR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5.75" hidden="1" customHeight="1">
      <c r="A736" s="3" t="s">
        <v>274</v>
      </c>
      <c r="B736" s="3" t="s">
        <v>244</v>
      </c>
      <c r="C736" s="3" t="s">
        <v>256</v>
      </c>
      <c r="D736" s="4">
        <v>45663.0</v>
      </c>
      <c r="E736" s="3">
        <v>69.0</v>
      </c>
      <c r="F736" s="5">
        <v>4.0</v>
      </c>
      <c r="G736" s="3">
        <v>940.0</v>
      </c>
      <c r="H736" s="3" t="str">
        <f>VLOOKUP(B736,'Currency Table'!$M$3:$N$6,2, FALSE)</f>
        <v>EUR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5.75" hidden="1" customHeight="1">
      <c r="A737" s="3" t="s">
        <v>275</v>
      </c>
      <c r="B737" s="3" t="s">
        <v>244</v>
      </c>
      <c r="C737" s="3" t="s">
        <v>256</v>
      </c>
      <c r="D737" s="4">
        <v>45663.0</v>
      </c>
      <c r="E737" s="3">
        <v>66.0</v>
      </c>
      <c r="F737" s="5">
        <v>1.0</v>
      </c>
      <c r="G737" s="3">
        <v>903.0</v>
      </c>
      <c r="H737" s="3" t="str">
        <f>VLOOKUP(B737,'Currency Table'!$M$3:$N$6,2, FALSE)</f>
        <v>EUR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5.75" hidden="1" customHeight="1">
      <c r="A738" s="3" t="s">
        <v>276</v>
      </c>
      <c r="B738" s="3" t="s">
        <v>244</v>
      </c>
      <c r="C738" s="3" t="s">
        <v>251</v>
      </c>
      <c r="D738" s="4">
        <v>45663.0</v>
      </c>
      <c r="E738" s="3">
        <v>15.0</v>
      </c>
      <c r="F738" s="5">
        <v>1.0</v>
      </c>
      <c r="G738" s="3">
        <v>217.0</v>
      </c>
      <c r="H738" s="3" t="str">
        <f>VLOOKUP(B738,'Currency Table'!$M$3:$N$6,2, FALSE)</f>
        <v>EUR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5.75" hidden="1" customHeight="1">
      <c r="A739" s="3" t="s">
        <v>277</v>
      </c>
      <c r="B739" s="3" t="s">
        <v>244</v>
      </c>
      <c r="C739" s="3" t="s">
        <v>246</v>
      </c>
      <c r="D739" s="4">
        <v>45663.0</v>
      </c>
      <c r="E739" s="3">
        <v>16.0</v>
      </c>
      <c r="F739" s="5">
        <v>1.0</v>
      </c>
      <c r="G739" s="3">
        <v>351.0</v>
      </c>
      <c r="H739" s="3" t="str">
        <f>VLOOKUP(B739,'Currency Table'!$M$3:$N$6,2, FALSE)</f>
        <v>EUR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5.75" hidden="1" customHeight="1">
      <c r="A740" s="3" t="s">
        <v>229</v>
      </c>
      <c r="B740" s="3" t="s">
        <v>244</v>
      </c>
      <c r="C740" s="3" t="s">
        <v>245</v>
      </c>
      <c r="D740" s="4">
        <v>45663.0</v>
      </c>
      <c r="E740" s="3">
        <v>64.0</v>
      </c>
      <c r="F740" s="5">
        <v>3.0</v>
      </c>
      <c r="G740" s="3">
        <v>929.0</v>
      </c>
      <c r="H740" s="3" t="str">
        <f>VLOOKUP(B740,'Currency Table'!$M$3:$N$6,2, FALSE)</f>
        <v>EUR</v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5.75" hidden="1" customHeight="1">
      <c r="A741" s="3" t="s">
        <v>278</v>
      </c>
      <c r="B741" s="3" t="s">
        <v>244</v>
      </c>
      <c r="C741" s="3" t="s">
        <v>246</v>
      </c>
      <c r="D741" s="4">
        <v>45663.0</v>
      </c>
      <c r="E741" s="3">
        <v>37.0</v>
      </c>
      <c r="F741" s="5">
        <v>2.0</v>
      </c>
      <c r="G741" s="3">
        <v>574.0</v>
      </c>
      <c r="H741" s="3" t="str">
        <f>VLOOKUP(B741,'Currency Table'!$M$3:$N$6,2, FALSE)</f>
        <v>EUR</v>
      </c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5.75" hidden="1" customHeight="1">
      <c r="A742" s="3" t="s">
        <v>279</v>
      </c>
      <c r="B742" s="3" t="s">
        <v>244</v>
      </c>
      <c r="C742" s="3" t="s">
        <v>256</v>
      </c>
      <c r="D742" s="4">
        <v>45663.0</v>
      </c>
      <c r="E742" s="3">
        <v>27.0</v>
      </c>
      <c r="F742" s="5">
        <v>1.0</v>
      </c>
      <c r="G742" s="3">
        <v>488.0</v>
      </c>
      <c r="H742" s="3" t="str">
        <f>VLOOKUP(B742,'Currency Table'!$M$3:$N$6,2, FALSE)</f>
        <v>EUR</v>
      </c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5.75" hidden="1" customHeight="1">
      <c r="A743" s="3" t="s">
        <v>231</v>
      </c>
      <c r="B743" s="3" t="s">
        <v>244</v>
      </c>
      <c r="C743" s="3" t="s">
        <v>245</v>
      </c>
      <c r="D743" s="4">
        <v>45663.0</v>
      </c>
      <c r="E743" s="3">
        <v>70.0</v>
      </c>
      <c r="F743" s="5">
        <v>4.0</v>
      </c>
      <c r="G743" s="3">
        <v>1048.0</v>
      </c>
      <c r="H743" s="3" t="str">
        <f>VLOOKUP(B743,'Currency Table'!$M$3:$N$6,2, FALSE)</f>
        <v>EUR</v>
      </c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5.75" hidden="1" customHeight="1">
      <c r="A744" s="3" t="s">
        <v>213</v>
      </c>
      <c r="B744" s="3" t="s">
        <v>244</v>
      </c>
      <c r="C744" s="3" t="s">
        <v>256</v>
      </c>
      <c r="D744" s="4">
        <v>45663.0</v>
      </c>
      <c r="E744" s="3">
        <v>14.0</v>
      </c>
      <c r="F744" s="5">
        <v>2.0</v>
      </c>
      <c r="G744" s="3">
        <v>246.0</v>
      </c>
      <c r="H744" s="3" t="str">
        <f>VLOOKUP(B744,'Currency Table'!$M$3:$N$6,2, FALSE)</f>
        <v>EUR</v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5.75" hidden="1" customHeight="1">
      <c r="A745" s="3" t="s">
        <v>280</v>
      </c>
      <c r="B745" s="3" t="s">
        <v>244</v>
      </c>
      <c r="C745" s="3" t="s">
        <v>245</v>
      </c>
      <c r="D745" s="4">
        <v>45663.0</v>
      </c>
      <c r="E745" s="3">
        <v>24.0</v>
      </c>
      <c r="F745" s="5">
        <v>2.0</v>
      </c>
      <c r="G745" s="3">
        <v>445.0</v>
      </c>
      <c r="H745" s="3" t="str">
        <f>VLOOKUP(B745,'Currency Table'!$M$3:$N$6,2, FALSE)</f>
        <v>EUR</v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5.75" hidden="1" customHeight="1">
      <c r="A746" s="3" t="s">
        <v>281</v>
      </c>
      <c r="B746" s="3" t="s">
        <v>244</v>
      </c>
      <c r="C746" s="3" t="s">
        <v>248</v>
      </c>
      <c r="D746" s="4">
        <v>45663.0</v>
      </c>
      <c r="E746" s="3">
        <v>49.0</v>
      </c>
      <c r="F746" s="5">
        <v>0.0</v>
      </c>
      <c r="G746" s="3">
        <v>840.0</v>
      </c>
      <c r="H746" s="3" t="str">
        <f>VLOOKUP(B746,'Currency Table'!$M$3:$N$6,2, FALSE)</f>
        <v>EUR</v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5.75" hidden="1" customHeight="1">
      <c r="A747" s="3" t="s">
        <v>227</v>
      </c>
      <c r="B747" s="3" t="s">
        <v>244</v>
      </c>
      <c r="C747" s="3" t="s">
        <v>245</v>
      </c>
      <c r="D747" s="4">
        <v>45663.0</v>
      </c>
      <c r="E747" s="3">
        <v>37.0</v>
      </c>
      <c r="F747" s="5">
        <v>0.0</v>
      </c>
      <c r="G747" s="3">
        <v>700.0</v>
      </c>
      <c r="H747" s="3" t="str">
        <f>VLOOKUP(B747,'Currency Table'!$M$3:$N$6,2, FALSE)</f>
        <v>EUR</v>
      </c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5.75" hidden="1" customHeight="1">
      <c r="A748" s="3" t="s">
        <v>282</v>
      </c>
      <c r="B748" s="3" t="s">
        <v>244</v>
      </c>
      <c r="C748" s="3" t="s">
        <v>245</v>
      </c>
      <c r="D748" s="4">
        <v>45663.0</v>
      </c>
      <c r="E748" s="3">
        <v>57.0</v>
      </c>
      <c r="F748" s="5">
        <v>0.0</v>
      </c>
      <c r="G748" s="3">
        <v>740.0</v>
      </c>
      <c r="H748" s="3" t="str">
        <f>VLOOKUP(B748,'Currency Table'!$M$3:$N$6,2, FALSE)</f>
        <v>EUR</v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5.75" hidden="1" customHeight="1">
      <c r="A749" s="3" t="s">
        <v>233</v>
      </c>
      <c r="B749" s="3" t="s">
        <v>244</v>
      </c>
      <c r="C749" s="3" t="s">
        <v>246</v>
      </c>
      <c r="D749" s="4">
        <v>45663.0</v>
      </c>
      <c r="E749" s="3">
        <v>48.0</v>
      </c>
      <c r="F749" s="5">
        <v>5.0</v>
      </c>
      <c r="G749" s="3">
        <v>717.0</v>
      </c>
      <c r="H749" s="3" t="str">
        <f>VLOOKUP(B749,'Currency Table'!$M$3:$N$6,2, FALSE)</f>
        <v>EUR</v>
      </c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5.75" hidden="1" customHeight="1">
      <c r="A750" s="3" t="s">
        <v>283</v>
      </c>
      <c r="B750" s="3" t="s">
        <v>244</v>
      </c>
      <c r="C750" s="3" t="s">
        <v>256</v>
      </c>
      <c r="D750" s="4">
        <v>45663.0</v>
      </c>
      <c r="E750" s="3">
        <v>15.0</v>
      </c>
      <c r="F750" s="5">
        <v>4.0</v>
      </c>
      <c r="G750" s="3">
        <v>198.0</v>
      </c>
      <c r="H750" s="3" t="str">
        <f>VLOOKUP(B750,'Currency Table'!$M$3:$N$6,2, FALSE)</f>
        <v>EUR</v>
      </c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5.75" hidden="1" customHeight="1">
      <c r="A751" s="3" t="s">
        <v>214</v>
      </c>
      <c r="B751" s="3" t="s">
        <v>244</v>
      </c>
      <c r="C751" s="3" t="s">
        <v>248</v>
      </c>
      <c r="D751" s="4">
        <v>45663.0</v>
      </c>
      <c r="E751" s="3">
        <v>59.0</v>
      </c>
      <c r="F751" s="5">
        <v>5.0</v>
      </c>
      <c r="G751" s="3">
        <v>888.0</v>
      </c>
      <c r="H751" s="3" t="str">
        <f>VLOOKUP(B751,'Currency Table'!$M$3:$N$6,2, FALSE)</f>
        <v>EUR</v>
      </c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5.75" hidden="1" customHeight="1">
      <c r="A752" s="3" t="s">
        <v>212</v>
      </c>
      <c r="B752" s="3" t="s">
        <v>244</v>
      </c>
      <c r="C752" s="3" t="s">
        <v>248</v>
      </c>
      <c r="D752" s="4">
        <v>45663.0</v>
      </c>
      <c r="E752" s="3">
        <v>30.0</v>
      </c>
      <c r="F752" s="5">
        <v>4.0</v>
      </c>
      <c r="G752" s="3">
        <v>286.0</v>
      </c>
      <c r="H752" s="3" t="str">
        <f>VLOOKUP(B752,'Currency Table'!$M$3:$N$6,2, FALSE)</f>
        <v>EUR</v>
      </c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5.75" hidden="1" customHeight="1">
      <c r="A753" s="3" t="s">
        <v>241</v>
      </c>
      <c r="B753" s="3" t="s">
        <v>244</v>
      </c>
      <c r="C753" s="3" t="s">
        <v>246</v>
      </c>
      <c r="D753" s="4">
        <v>45663.0</v>
      </c>
      <c r="E753" s="3">
        <v>10.0</v>
      </c>
      <c r="F753" s="5">
        <v>3.0</v>
      </c>
      <c r="G753" s="3">
        <v>221.0</v>
      </c>
      <c r="H753" s="3" t="str">
        <f>VLOOKUP(B753,'Currency Table'!$M$3:$N$6,2, FALSE)</f>
        <v>EUR</v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5.75" hidden="1" customHeight="1">
      <c r="A754" s="3" t="s">
        <v>284</v>
      </c>
      <c r="B754" s="3" t="s">
        <v>244</v>
      </c>
      <c r="C754" s="3" t="s">
        <v>248</v>
      </c>
      <c r="D754" s="4">
        <v>45663.0</v>
      </c>
      <c r="E754" s="3">
        <v>26.0</v>
      </c>
      <c r="F754" s="5">
        <v>1.0</v>
      </c>
      <c r="G754" s="3">
        <v>408.0</v>
      </c>
      <c r="H754" s="3" t="str">
        <f>VLOOKUP(B754,'Currency Table'!$M$3:$N$6,2, FALSE)</f>
        <v>EUR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5.75" hidden="1" customHeight="1">
      <c r="A755" s="3" t="s">
        <v>285</v>
      </c>
      <c r="B755" s="3" t="s">
        <v>244</v>
      </c>
      <c r="C755" s="3" t="s">
        <v>256</v>
      </c>
      <c r="D755" s="4">
        <v>45663.0</v>
      </c>
      <c r="E755" s="3">
        <v>54.0</v>
      </c>
      <c r="F755" s="5">
        <v>0.0</v>
      </c>
      <c r="G755" s="3">
        <v>718.0</v>
      </c>
      <c r="H755" s="3" t="str">
        <f>VLOOKUP(B755,'Currency Table'!$M$3:$N$6,2, FALSE)</f>
        <v>EUR</v>
      </c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5.75" hidden="1" customHeight="1">
      <c r="A756" s="3" t="s">
        <v>286</v>
      </c>
      <c r="B756" s="3" t="s">
        <v>244</v>
      </c>
      <c r="C756" s="3" t="s">
        <v>251</v>
      </c>
      <c r="D756" s="4">
        <v>45663.0</v>
      </c>
      <c r="E756" s="3">
        <v>13.0</v>
      </c>
      <c r="F756" s="5">
        <v>1.0</v>
      </c>
      <c r="G756" s="3">
        <v>230.0</v>
      </c>
      <c r="H756" s="3" t="str">
        <f>VLOOKUP(B756,'Currency Table'!$M$3:$N$6,2, FALSE)</f>
        <v>EUR</v>
      </c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5.75" hidden="1" customHeight="1">
      <c r="A757" s="3" t="s">
        <v>287</v>
      </c>
      <c r="B757" s="3" t="s">
        <v>244</v>
      </c>
      <c r="C757" s="3" t="s">
        <v>256</v>
      </c>
      <c r="D757" s="4">
        <v>45663.0</v>
      </c>
      <c r="E757" s="3">
        <v>60.0</v>
      </c>
      <c r="F757" s="5">
        <v>1.0</v>
      </c>
      <c r="G757" s="3">
        <v>700.0</v>
      </c>
      <c r="H757" s="3" t="str">
        <f>VLOOKUP(B757,'Currency Table'!$M$3:$N$6,2, FALSE)</f>
        <v>EUR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5.75" hidden="1" customHeight="1">
      <c r="A758" s="3" t="s">
        <v>288</v>
      </c>
      <c r="B758" s="3" t="s">
        <v>244</v>
      </c>
      <c r="C758" s="3" t="s">
        <v>256</v>
      </c>
      <c r="D758" s="4">
        <v>45663.0</v>
      </c>
      <c r="E758" s="3">
        <v>52.0</v>
      </c>
      <c r="F758" s="5">
        <v>1.0</v>
      </c>
      <c r="G758" s="3">
        <v>770.0</v>
      </c>
      <c r="H758" s="3" t="str">
        <f>VLOOKUP(B758,'Currency Table'!$M$3:$N$6,2, FALSE)</f>
        <v>EUR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5.75" hidden="1" customHeight="1">
      <c r="A759" s="3" t="s">
        <v>234</v>
      </c>
      <c r="B759" s="3" t="s">
        <v>244</v>
      </c>
      <c r="C759" s="3" t="s">
        <v>246</v>
      </c>
      <c r="D759" s="4">
        <v>45663.0</v>
      </c>
      <c r="E759" s="3">
        <v>45.0</v>
      </c>
      <c r="F759" s="5">
        <v>5.0</v>
      </c>
      <c r="G759" s="3">
        <v>509.0</v>
      </c>
      <c r="H759" s="3" t="str">
        <f>VLOOKUP(B759,'Currency Table'!$M$3:$N$6,2, FALSE)</f>
        <v>EUR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5.75" hidden="1" customHeight="1">
      <c r="A760" s="3" t="s">
        <v>243</v>
      </c>
      <c r="B760" s="3" t="s">
        <v>244</v>
      </c>
      <c r="C760" s="3" t="s">
        <v>246</v>
      </c>
      <c r="D760" s="4">
        <v>45663.0</v>
      </c>
      <c r="E760" s="3">
        <v>12.0</v>
      </c>
      <c r="F760" s="5">
        <v>3.0</v>
      </c>
      <c r="G760" s="3">
        <v>240.0</v>
      </c>
      <c r="H760" s="3" t="str">
        <f>VLOOKUP(B760,'Currency Table'!$M$3:$N$6,2, FALSE)</f>
        <v>EUR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5.75" hidden="1" customHeight="1">
      <c r="A761" s="3" t="s">
        <v>289</v>
      </c>
      <c r="B761" s="3" t="s">
        <v>244</v>
      </c>
      <c r="C761" s="3" t="s">
        <v>246</v>
      </c>
      <c r="D761" s="4">
        <v>45663.0</v>
      </c>
      <c r="E761" s="3">
        <v>26.0</v>
      </c>
      <c r="F761" s="5">
        <v>2.0</v>
      </c>
      <c r="G761" s="3">
        <v>469.0</v>
      </c>
      <c r="H761" s="3" t="str">
        <f>VLOOKUP(B761,'Currency Table'!$M$3:$N$6,2, FALSE)</f>
        <v>EUR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5.75" hidden="1" customHeight="1">
      <c r="A762" s="3" t="s">
        <v>218</v>
      </c>
      <c r="B762" s="3" t="s">
        <v>244</v>
      </c>
      <c r="C762" s="3" t="s">
        <v>248</v>
      </c>
      <c r="D762" s="4">
        <v>45663.0</v>
      </c>
      <c r="E762" s="3">
        <v>67.0</v>
      </c>
      <c r="F762" s="5">
        <v>2.0</v>
      </c>
      <c r="G762" s="3">
        <v>980.0</v>
      </c>
      <c r="H762" s="3" t="str">
        <f>VLOOKUP(B762,'Currency Table'!$M$3:$N$6,2, FALSE)</f>
        <v>EUR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5.75" hidden="1" customHeight="1">
      <c r="A763" s="3" t="s">
        <v>290</v>
      </c>
      <c r="B763" s="3" t="s">
        <v>244</v>
      </c>
      <c r="C763" s="3" t="s">
        <v>248</v>
      </c>
      <c r="D763" s="4">
        <v>45663.0</v>
      </c>
      <c r="E763" s="3">
        <v>23.0</v>
      </c>
      <c r="F763" s="5">
        <v>1.0</v>
      </c>
      <c r="G763" s="3">
        <v>435.0</v>
      </c>
      <c r="H763" s="3" t="str">
        <f>VLOOKUP(B763,'Currency Table'!$M$3:$N$6,2, FALSE)</f>
        <v>EUR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5.75" hidden="1" customHeight="1">
      <c r="A764" s="3" t="s">
        <v>219</v>
      </c>
      <c r="B764" s="3" t="s">
        <v>244</v>
      </c>
      <c r="C764" s="3" t="s">
        <v>248</v>
      </c>
      <c r="D764" s="4">
        <v>45663.0</v>
      </c>
      <c r="E764" s="3">
        <v>59.0</v>
      </c>
      <c r="F764" s="5">
        <v>0.0</v>
      </c>
      <c r="G764" s="3">
        <v>800.0</v>
      </c>
      <c r="H764" s="3" t="str">
        <f>VLOOKUP(B764,'Currency Table'!$M$3:$N$6,2, FALSE)</f>
        <v>EUR</v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5.75" hidden="1" customHeight="1">
      <c r="A765" s="3" t="s">
        <v>291</v>
      </c>
      <c r="B765" s="3" t="s">
        <v>244</v>
      </c>
      <c r="C765" s="3" t="s">
        <v>251</v>
      </c>
      <c r="D765" s="4">
        <v>45663.0</v>
      </c>
      <c r="E765" s="3">
        <v>66.0</v>
      </c>
      <c r="F765" s="5">
        <v>5.0</v>
      </c>
      <c r="G765" s="3">
        <v>910.0</v>
      </c>
      <c r="H765" s="3" t="str">
        <f>VLOOKUP(B765,'Currency Table'!$M$3:$N$6,2, FALSE)</f>
        <v>EUR</v>
      </c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5.75" hidden="1" customHeight="1">
      <c r="A766" s="3" t="s">
        <v>292</v>
      </c>
      <c r="B766" s="3" t="s">
        <v>244</v>
      </c>
      <c r="C766" s="3" t="s">
        <v>256</v>
      </c>
      <c r="D766" s="4">
        <v>45663.0</v>
      </c>
      <c r="E766" s="3">
        <v>53.0</v>
      </c>
      <c r="F766" s="5">
        <v>4.0</v>
      </c>
      <c r="G766" s="3">
        <v>732.0</v>
      </c>
      <c r="H766" s="3" t="str">
        <f>VLOOKUP(B766,'Currency Table'!$M$3:$N$6,2, FALSE)</f>
        <v>EUR</v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5.75" hidden="1" customHeight="1">
      <c r="A767" s="3" t="s">
        <v>217</v>
      </c>
      <c r="B767" s="3" t="s">
        <v>244</v>
      </c>
      <c r="C767" s="3" t="s">
        <v>245</v>
      </c>
      <c r="D767" s="4">
        <v>45663.0</v>
      </c>
      <c r="E767" s="3">
        <v>59.0</v>
      </c>
      <c r="F767" s="5">
        <v>0.0</v>
      </c>
      <c r="G767" s="3">
        <v>769.0</v>
      </c>
      <c r="H767" s="3" t="str">
        <f>VLOOKUP(B767,'Currency Table'!$M$3:$N$6,2, FALSE)</f>
        <v>EUR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5.75" hidden="1" customHeight="1">
      <c r="A768" s="3" t="s">
        <v>293</v>
      </c>
      <c r="B768" s="3" t="s">
        <v>244</v>
      </c>
      <c r="C768" s="3" t="s">
        <v>256</v>
      </c>
      <c r="D768" s="4">
        <v>45663.0</v>
      </c>
      <c r="E768" s="3">
        <v>22.0</v>
      </c>
      <c r="F768" s="5">
        <v>0.0</v>
      </c>
      <c r="G768" s="3">
        <v>469.0</v>
      </c>
      <c r="H768" s="3" t="str">
        <f>VLOOKUP(B768,'Currency Table'!$M$3:$N$6,2, FALSE)</f>
        <v>EUR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5.75" hidden="1" customHeight="1">
      <c r="A769" s="3" t="s">
        <v>215</v>
      </c>
      <c r="B769" s="3" t="s">
        <v>244</v>
      </c>
      <c r="C769" s="3" t="s">
        <v>256</v>
      </c>
      <c r="D769" s="4">
        <v>45663.0</v>
      </c>
      <c r="E769" s="3">
        <v>61.0</v>
      </c>
      <c r="F769" s="5">
        <v>3.0</v>
      </c>
      <c r="G769" s="3">
        <v>991.0</v>
      </c>
      <c r="H769" s="3" t="str">
        <f>VLOOKUP(B769,'Currency Table'!$M$3:$N$6,2, FALSE)</f>
        <v>EUR</v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5.75" hidden="1" customHeight="1">
      <c r="A770" s="3" t="s">
        <v>232</v>
      </c>
      <c r="B770" s="3" t="s">
        <v>244</v>
      </c>
      <c r="C770" s="3" t="s">
        <v>246</v>
      </c>
      <c r="D770" s="4">
        <v>45663.0</v>
      </c>
      <c r="E770" s="3">
        <v>55.0</v>
      </c>
      <c r="F770" s="5">
        <v>0.0</v>
      </c>
      <c r="G770" s="3">
        <v>778.0</v>
      </c>
      <c r="H770" s="3" t="str">
        <f>VLOOKUP(B770,'Currency Table'!$M$3:$N$6,2, FALSE)</f>
        <v>EUR</v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5.75" hidden="1" customHeight="1">
      <c r="A771" s="3" t="s">
        <v>294</v>
      </c>
      <c r="B771" s="3" t="s">
        <v>244</v>
      </c>
      <c r="C771" s="3" t="s">
        <v>251</v>
      </c>
      <c r="D771" s="4">
        <v>45663.0</v>
      </c>
      <c r="E771" s="3">
        <v>28.0</v>
      </c>
      <c r="F771" s="5">
        <v>4.0</v>
      </c>
      <c r="G771" s="3">
        <v>297.0</v>
      </c>
      <c r="H771" s="3" t="str">
        <f>VLOOKUP(B771,'Currency Table'!$M$3:$N$6,2, FALSE)</f>
        <v>EUR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5.75" hidden="1" customHeight="1">
      <c r="A772" s="3" t="s">
        <v>295</v>
      </c>
      <c r="B772" s="3" t="s">
        <v>244</v>
      </c>
      <c r="C772" s="3" t="s">
        <v>246</v>
      </c>
      <c r="D772" s="4">
        <v>45663.0</v>
      </c>
      <c r="E772" s="3">
        <v>68.0</v>
      </c>
      <c r="F772" s="5">
        <v>3.0</v>
      </c>
      <c r="G772" s="3">
        <v>975.0</v>
      </c>
      <c r="H772" s="3" t="str">
        <f>VLOOKUP(B772,'Currency Table'!$M$3:$N$6,2, FALSE)</f>
        <v>EUR</v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5.75" hidden="1" customHeight="1">
      <c r="A773" s="3" t="s">
        <v>242</v>
      </c>
      <c r="B773" s="3" t="s">
        <v>244</v>
      </c>
      <c r="C773" s="3" t="s">
        <v>246</v>
      </c>
      <c r="D773" s="4">
        <v>45663.0</v>
      </c>
      <c r="E773" s="3">
        <v>21.0</v>
      </c>
      <c r="F773" s="5">
        <v>0.0</v>
      </c>
      <c r="G773" s="3">
        <v>481.0</v>
      </c>
      <c r="H773" s="3" t="str">
        <f>VLOOKUP(B773,'Currency Table'!$M$3:$N$6,2, FALSE)</f>
        <v>EUR</v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5.75" hidden="1" customHeight="1">
      <c r="A774" s="3" t="s">
        <v>296</v>
      </c>
      <c r="B774" s="3" t="s">
        <v>244</v>
      </c>
      <c r="C774" s="3" t="s">
        <v>248</v>
      </c>
      <c r="D774" s="4">
        <v>45663.0</v>
      </c>
      <c r="E774" s="3">
        <v>45.0</v>
      </c>
      <c r="F774" s="5">
        <v>0.0</v>
      </c>
      <c r="G774" s="3">
        <v>574.0</v>
      </c>
      <c r="H774" s="3" t="str">
        <f>VLOOKUP(B774,'Currency Table'!$M$3:$N$6,2, FALSE)</f>
        <v>EUR</v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5.75" hidden="1" customHeight="1">
      <c r="A775" s="3" t="s">
        <v>297</v>
      </c>
      <c r="B775" s="3" t="s">
        <v>244</v>
      </c>
      <c r="C775" s="3" t="s">
        <v>251</v>
      </c>
      <c r="D775" s="4">
        <v>45663.0</v>
      </c>
      <c r="E775" s="3">
        <v>45.0</v>
      </c>
      <c r="F775" s="5">
        <v>4.0</v>
      </c>
      <c r="G775" s="3">
        <v>657.0</v>
      </c>
      <c r="H775" s="3" t="str">
        <f>VLOOKUP(B775,'Currency Table'!$M$3:$N$6,2, FALSE)</f>
        <v>EUR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5.75" hidden="1" customHeight="1">
      <c r="A776" s="3" t="s">
        <v>298</v>
      </c>
      <c r="B776" s="3" t="s">
        <v>244</v>
      </c>
      <c r="C776" s="3" t="s">
        <v>245</v>
      </c>
      <c r="D776" s="4">
        <v>45663.0</v>
      </c>
      <c r="E776" s="3">
        <v>65.0</v>
      </c>
      <c r="F776" s="5">
        <v>1.0</v>
      </c>
      <c r="G776" s="3">
        <v>904.0</v>
      </c>
      <c r="H776" s="3" t="str">
        <f>VLOOKUP(B776,'Currency Table'!$M$3:$N$6,2, FALSE)</f>
        <v>EUR</v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5.75" hidden="1" customHeight="1">
      <c r="A777" s="3" t="s">
        <v>299</v>
      </c>
      <c r="B777" s="3" t="s">
        <v>244</v>
      </c>
      <c r="C777" s="3" t="s">
        <v>245</v>
      </c>
      <c r="D777" s="4">
        <v>45663.0</v>
      </c>
      <c r="E777" s="3">
        <v>67.0</v>
      </c>
      <c r="F777" s="5">
        <v>4.0</v>
      </c>
      <c r="G777" s="3">
        <v>999.0</v>
      </c>
      <c r="H777" s="3" t="str">
        <f>VLOOKUP(B777,'Currency Table'!$M$3:$N$6,2, FALSE)</f>
        <v>EUR</v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5.75" hidden="1" customHeight="1">
      <c r="A778" s="3" t="s">
        <v>300</v>
      </c>
      <c r="B778" s="3" t="s">
        <v>244</v>
      </c>
      <c r="C778" s="3" t="s">
        <v>256</v>
      </c>
      <c r="D778" s="4">
        <v>45663.0</v>
      </c>
      <c r="E778" s="3">
        <v>35.0</v>
      </c>
      <c r="F778" s="5">
        <v>1.0</v>
      </c>
      <c r="G778" s="3">
        <v>688.0</v>
      </c>
      <c r="H778" s="3" t="str">
        <f>VLOOKUP(B778,'Currency Table'!$M$3:$N$6,2, FALSE)</f>
        <v>EUR</v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5.75" hidden="1" customHeight="1">
      <c r="A779" s="3" t="s">
        <v>301</v>
      </c>
      <c r="B779" s="3" t="s">
        <v>244</v>
      </c>
      <c r="C779" s="3" t="s">
        <v>248</v>
      </c>
      <c r="D779" s="4">
        <v>45663.0</v>
      </c>
      <c r="E779" s="3">
        <v>27.0</v>
      </c>
      <c r="F779" s="5">
        <v>3.0</v>
      </c>
      <c r="G779" s="3">
        <v>309.0</v>
      </c>
      <c r="H779" s="3" t="str">
        <f>VLOOKUP(B779,'Currency Table'!$M$3:$N$6,2, FALSE)</f>
        <v>EUR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5.75" hidden="1" customHeight="1">
      <c r="A780" s="3" t="s">
        <v>302</v>
      </c>
      <c r="B780" s="3" t="s">
        <v>244</v>
      </c>
      <c r="C780" s="3" t="s">
        <v>245</v>
      </c>
      <c r="D780" s="4">
        <v>45663.0</v>
      </c>
      <c r="E780" s="3">
        <v>68.0</v>
      </c>
      <c r="F780" s="5">
        <v>0.0</v>
      </c>
      <c r="G780" s="3">
        <v>953.0</v>
      </c>
      <c r="H780" s="3" t="str">
        <f>VLOOKUP(B780,'Currency Table'!$M$3:$N$6,2, FALSE)</f>
        <v>EUR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5.75" hidden="1" customHeight="1">
      <c r="A781" s="3" t="s">
        <v>303</v>
      </c>
      <c r="B781" s="3" t="s">
        <v>244</v>
      </c>
      <c r="C781" s="3" t="s">
        <v>251</v>
      </c>
      <c r="D781" s="4">
        <v>45663.0</v>
      </c>
      <c r="E781" s="3">
        <v>69.0</v>
      </c>
      <c r="F781" s="5">
        <v>4.0</v>
      </c>
      <c r="G781" s="3">
        <v>1006.0</v>
      </c>
      <c r="H781" s="3" t="str">
        <f>VLOOKUP(B781,'Currency Table'!$M$3:$N$6,2, FALSE)</f>
        <v>EUR</v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5.75" hidden="1" customHeight="1">
      <c r="A782" s="3" t="s">
        <v>304</v>
      </c>
      <c r="B782" s="3" t="s">
        <v>244</v>
      </c>
      <c r="C782" s="3" t="s">
        <v>248</v>
      </c>
      <c r="D782" s="4">
        <v>45663.0</v>
      </c>
      <c r="E782" s="3">
        <v>60.0</v>
      </c>
      <c r="F782" s="5">
        <v>3.0</v>
      </c>
      <c r="G782" s="3">
        <v>712.0</v>
      </c>
      <c r="H782" s="3" t="str">
        <f>VLOOKUP(B782,'Currency Table'!$M$3:$N$6,2, FALSE)</f>
        <v>EUR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5.75" hidden="1" customHeight="1">
      <c r="A783" s="3" t="s">
        <v>305</v>
      </c>
      <c r="B783" s="3" t="s">
        <v>244</v>
      </c>
      <c r="C783" s="3" t="s">
        <v>245</v>
      </c>
      <c r="D783" s="4">
        <v>45663.0</v>
      </c>
      <c r="E783" s="3">
        <v>55.0</v>
      </c>
      <c r="F783" s="5">
        <v>4.0</v>
      </c>
      <c r="G783" s="3">
        <v>711.0</v>
      </c>
      <c r="H783" s="3" t="str">
        <f>VLOOKUP(B783,'Currency Table'!$M$3:$N$6,2, FALSE)</f>
        <v>EUR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5.75" hidden="1" customHeight="1">
      <c r="A784" s="3" t="s">
        <v>306</v>
      </c>
      <c r="B784" s="3" t="s">
        <v>244</v>
      </c>
      <c r="C784" s="3" t="s">
        <v>246</v>
      </c>
      <c r="D784" s="4">
        <v>45663.0</v>
      </c>
      <c r="E784" s="3">
        <v>60.0</v>
      </c>
      <c r="F784" s="5">
        <v>1.0</v>
      </c>
      <c r="G784" s="3">
        <v>772.0</v>
      </c>
      <c r="H784" s="3" t="str">
        <f>VLOOKUP(B784,'Currency Table'!$M$3:$N$6,2, FALSE)</f>
        <v>EUR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5.75" hidden="1" customHeight="1">
      <c r="A785" s="3" t="s">
        <v>307</v>
      </c>
      <c r="B785" s="3" t="s">
        <v>244</v>
      </c>
      <c r="C785" s="3" t="s">
        <v>251</v>
      </c>
      <c r="D785" s="4">
        <v>45663.0</v>
      </c>
      <c r="E785" s="3">
        <v>48.0</v>
      </c>
      <c r="F785" s="5">
        <v>4.0</v>
      </c>
      <c r="G785" s="3">
        <v>855.0</v>
      </c>
      <c r="H785" s="3" t="str">
        <f>VLOOKUP(B785,'Currency Table'!$M$3:$N$6,2, FALSE)</f>
        <v>EUR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5.75" hidden="1" customHeight="1">
      <c r="A786" s="3" t="s">
        <v>308</v>
      </c>
      <c r="B786" s="3" t="s">
        <v>244</v>
      </c>
      <c r="C786" s="3" t="s">
        <v>246</v>
      </c>
      <c r="D786" s="4">
        <v>45663.0</v>
      </c>
      <c r="E786" s="3">
        <v>14.0</v>
      </c>
      <c r="F786" s="5">
        <v>4.0</v>
      </c>
      <c r="G786" s="3">
        <v>218.0</v>
      </c>
      <c r="H786" s="3" t="str">
        <f>VLOOKUP(B786,'Currency Table'!$M$3:$N$6,2, FALSE)</f>
        <v>EUR</v>
      </c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5.75" hidden="1" customHeight="1">
      <c r="A787" s="3" t="s">
        <v>309</v>
      </c>
      <c r="B787" s="3" t="s">
        <v>244</v>
      </c>
      <c r="C787" s="3" t="s">
        <v>248</v>
      </c>
      <c r="D787" s="4">
        <v>45663.0</v>
      </c>
      <c r="E787" s="3">
        <v>31.0</v>
      </c>
      <c r="F787" s="5">
        <v>2.0</v>
      </c>
      <c r="G787" s="3">
        <v>678.0</v>
      </c>
      <c r="H787" s="3" t="str">
        <f>VLOOKUP(B787,'Currency Table'!$M$3:$N$6,2, FALSE)</f>
        <v>EUR</v>
      </c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5.75" hidden="1" customHeight="1">
      <c r="A788" s="3" t="s">
        <v>310</v>
      </c>
      <c r="B788" s="3" t="s">
        <v>244</v>
      </c>
      <c r="C788" s="3" t="s">
        <v>245</v>
      </c>
      <c r="D788" s="4">
        <v>45663.0</v>
      </c>
      <c r="E788" s="3">
        <v>24.0</v>
      </c>
      <c r="F788" s="5">
        <v>5.0</v>
      </c>
      <c r="G788" s="3">
        <v>289.0</v>
      </c>
      <c r="H788" s="3" t="str">
        <f>VLOOKUP(B788,'Currency Table'!$M$3:$N$6,2, FALSE)</f>
        <v>EUR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5.75" hidden="1" customHeight="1">
      <c r="A789" s="3" t="s">
        <v>311</v>
      </c>
      <c r="B789" s="3" t="s">
        <v>244</v>
      </c>
      <c r="C789" s="3" t="s">
        <v>245</v>
      </c>
      <c r="D789" s="4">
        <v>45663.0</v>
      </c>
      <c r="E789" s="3">
        <v>20.0</v>
      </c>
      <c r="F789" s="5">
        <v>3.0</v>
      </c>
      <c r="G789" s="3">
        <v>303.0</v>
      </c>
      <c r="H789" s="3" t="str">
        <f>VLOOKUP(B789,'Currency Table'!$M$3:$N$6,2, FALSE)</f>
        <v>EUR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5.75" hidden="1" customHeight="1">
      <c r="A790" s="3" t="s">
        <v>312</v>
      </c>
      <c r="B790" s="3" t="s">
        <v>244</v>
      </c>
      <c r="C790" s="3" t="s">
        <v>245</v>
      </c>
      <c r="D790" s="4">
        <v>45663.0</v>
      </c>
      <c r="E790" s="3">
        <v>51.0</v>
      </c>
      <c r="F790" s="5">
        <v>5.0</v>
      </c>
      <c r="G790" s="3">
        <v>867.0</v>
      </c>
      <c r="H790" s="3" t="str">
        <f>VLOOKUP(B790,'Currency Table'!$M$3:$N$6,2, FALSE)</f>
        <v>EUR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5.75" hidden="1" customHeight="1">
      <c r="A791" s="3" t="s">
        <v>313</v>
      </c>
      <c r="B791" s="3" t="s">
        <v>244</v>
      </c>
      <c r="C791" s="3" t="s">
        <v>256</v>
      </c>
      <c r="D791" s="4">
        <v>45663.0</v>
      </c>
      <c r="E791" s="3">
        <v>13.0</v>
      </c>
      <c r="F791" s="5">
        <v>5.0</v>
      </c>
      <c r="G791" s="3">
        <v>165.0</v>
      </c>
      <c r="H791" s="3" t="str">
        <f>VLOOKUP(B791,'Currency Table'!$M$3:$N$6,2, FALSE)</f>
        <v>EUR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5.75" hidden="1" customHeight="1">
      <c r="A792" s="3" t="s">
        <v>314</v>
      </c>
      <c r="B792" s="3" t="s">
        <v>244</v>
      </c>
      <c r="C792" s="3" t="s">
        <v>251</v>
      </c>
      <c r="D792" s="4">
        <v>45663.0</v>
      </c>
      <c r="E792" s="3">
        <v>10.0</v>
      </c>
      <c r="F792" s="5">
        <v>0.0</v>
      </c>
      <c r="G792" s="3">
        <v>179.0</v>
      </c>
      <c r="H792" s="3" t="str">
        <f>VLOOKUP(B792,'Currency Table'!$M$3:$N$6,2, FALSE)</f>
        <v>EUR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5.75" hidden="1" customHeight="1">
      <c r="A793" s="3" t="s">
        <v>315</v>
      </c>
      <c r="B793" s="3" t="s">
        <v>244</v>
      </c>
      <c r="C793" s="3" t="s">
        <v>251</v>
      </c>
      <c r="D793" s="4">
        <v>45663.0</v>
      </c>
      <c r="E793" s="3">
        <v>31.0</v>
      </c>
      <c r="F793" s="5">
        <v>2.0</v>
      </c>
      <c r="G793" s="3">
        <v>693.0</v>
      </c>
      <c r="H793" s="3" t="str">
        <f>VLOOKUP(B793,'Currency Table'!$M$3:$N$6,2, FALSE)</f>
        <v>EUR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5.75" hidden="1" customHeight="1">
      <c r="A794" s="3" t="s">
        <v>316</v>
      </c>
      <c r="B794" s="3" t="s">
        <v>244</v>
      </c>
      <c r="C794" s="3" t="s">
        <v>245</v>
      </c>
      <c r="D794" s="4">
        <v>45663.0</v>
      </c>
      <c r="E794" s="3">
        <v>65.0</v>
      </c>
      <c r="F794" s="5">
        <v>4.0</v>
      </c>
      <c r="G794" s="3">
        <v>921.0</v>
      </c>
      <c r="H794" s="3" t="str">
        <f>VLOOKUP(B794,'Currency Table'!$M$3:$N$6,2, FALSE)</f>
        <v>EUR</v>
      </c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5.75" hidden="1" customHeight="1">
      <c r="A795" s="3" t="s">
        <v>317</v>
      </c>
      <c r="B795" s="3" t="s">
        <v>244</v>
      </c>
      <c r="C795" s="3" t="s">
        <v>256</v>
      </c>
      <c r="D795" s="4">
        <v>45663.0</v>
      </c>
      <c r="E795" s="3">
        <v>66.0</v>
      </c>
      <c r="F795" s="5">
        <v>2.0</v>
      </c>
      <c r="G795" s="3">
        <v>937.0</v>
      </c>
      <c r="H795" s="3" t="str">
        <f>VLOOKUP(B795,'Currency Table'!$M$3:$N$6,2, FALSE)</f>
        <v>EUR</v>
      </c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5.75" hidden="1" customHeight="1">
      <c r="A796" s="3" t="s">
        <v>318</v>
      </c>
      <c r="B796" s="3" t="s">
        <v>244</v>
      </c>
      <c r="C796" s="3" t="s">
        <v>248</v>
      </c>
      <c r="D796" s="4">
        <v>45663.0</v>
      </c>
      <c r="E796" s="3">
        <v>29.0</v>
      </c>
      <c r="F796" s="5">
        <v>2.0</v>
      </c>
      <c r="G796" s="3">
        <v>468.0</v>
      </c>
      <c r="H796" s="3" t="str">
        <f>VLOOKUP(B796,'Currency Table'!$M$3:$N$6,2, FALSE)</f>
        <v>EUR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5.75" hidden="1" customHeight="1">
      <c r="A797" s="3" t="s">
        <v>319</v>
      </c>
      <c r="B797" s="3" t="s">
        <v>244</v>
      </c>
      <c r="C797" s="3" t="s">
        <v>246</v>
      </c>
      <c r="D797" s="4">
        <v>45663.0</v>
      </c>
      <c r="E797" s="3">
        <v>17.0</v>
      </c>
      <c r="F797" s="5">
        <v>3.0</v>
      </c>
      <c r="G797" s="3">
        <v>288.0</v>
      </c>
      <c r="H797" s="3" t="str">
        <f>VLOOKUP(B797,'Currency Table'!$M$3:$N$6,2, FALSE)</f>
        <v>EUR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5.75" hidden="1" customHeight="1">
      <c r="A798" s="3" t="s">
        <v>320</v>
      </c>
      <c r="B798" s="3" t="s">
        <v>244</v>
      </c>
      <c r="C798" s="3" t="s">
        <v>245</v>
      </c>
      <c r="D798" s="4">
        <v>45663.0</v>
      </c>
      <c r="E798" s="3">
        <v>13.0</v>
      </c>
      <c r="F798" s="5">
        <v>1.0</v>
      </c>
      <c r="G798" s="3">
        <v>171.0</v>
      </c>
      <c r="H798" s="3" t="str">
        <f>VLOOKUP(B798,'Currency Table'!$M$3:$N$6,2, FALSE)</f>
        <v>EUR</v>
      </c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5.75" hidden="1" customHeight="1">
      <c r="A799" s="3" t="s">
        <v>321</v>
      </c>
      <c r="B799" s="3" t="s">
        <v>244</v>
      </c>
      <c r="C799" s="3" t="s">
        <v>246</v>
      </c>
      <c r="D799" s="4">
        <v>45663.0</v>
      </c>
      <c r="E799" s="3">
        <v>39.0</v>
      </c>
      <c r="F799" s="5">
        <v>4.0</v>
      </c>
      <c r="G799" s="3">
        <v>642.0</v>
      </c>
      <c r="H799" s="3" t="str">
        <f>VLOOKUP(B799,'Currency Table'!$M$3:$N$6,2, FALSE)</f>
        <v>EUR</v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5.75" hidden="1" customHeight="1">
      <c r="A800" s="3" t="s">
        <v>322</v>
      </c>
      <c r="B800" s="3" t="s">
        <v>244</v>
      </c>
      <c r="C800" s="3" t="s">
        <v>245</v>
      </c>
      <c r="D800" s="4">
        <v>45663.0</v>
      </c>
      <c r="E800" s="3">
        <v>32.0</v>
      </c>
      <c r="F800" s="5">
        <v>0.0</v>
      </c>
      <c r="G800" s="3">
        <v>694.0</v>
      </c>
      <c r="H800" s="3" t="str">
        <f>VLOOKUP(B800,'Currency Table'!$M$3:$N$6,2, FALSE)</f>
        <v>EUR</v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5.75" hidden="1" customHeight="1">
      <c r="A801" s="3" t="s">
        <v>323</v>
      </c>
      <c r="B801" s="3" t="s">
        <v>244</v>
      </c>
      <c r="C801" s="3" t="s">
        <v>245</v>
      </c>
      <c r="D801" s="4">
        <v>45663.0</v>
      </c>
      <c r="E801" s="3">
        <v>35.0</v>
      </c>
      <c r="F801" s="5">
        <v>1.0</v>
      </c>
      <c r="G801" s="3">
        <v>568.0</v>
      </c>
      <c r="H801" s="3" t="str">
        <f>VLOOKUP(B801,'Currency Table'!$M$3:$N$6,2, FALSE)</f>
        <v>EUR</v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5.75" hidden="1" customHeight="1">
      <c r="A802" s="3" t="s">
        <v>250</v>
      </c>
      <c r="B802" s="3" t="s">
        <v>244</v>
      </c>
      <c r="C802" s="3" t="s">
        <v>251</v>
      </c>
      <c r="D802" s="4">
        <v>45670.0</v>
      </c>
      <c r="E802" s="3">
        <v>30.0</v>
      </c>
      <c r="F802" s="5">
        <v>2.0</v>
      </c>
      <c r="G802" s="3">
        <v>418.0</v>
      </c>
      <c r="H802" s="3" t="str">
        <f>VLOOKUP(B802,'Currency Table'!$M$3:$N$6,2, FALSE)</f>
        <v>EUR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5.75" hidden="1" customHeight="1">
      <c r="A803" s="3" t="s">
        <v>237</v>
      </c>
      <c r="B803" s="3" t="s">
        <v>244</v>
      </c>
      <c r="C803" s="3" t="s">
        <v>246</v>
      </c>
      <c r="D803" s="4">
        <v>45670.0</v>
      </c>
      <c r="E803" s="3">
        <v>64.0</v>
      </c>
      <c r="F803" s="5">
        <v>2.0</v>
      </c>
      <c r="G803" s="3">
        <v>911.0</v>
      </c>
      <c r="H803" s="3" t="str">
        <f>VLOOKUP(B803,'Currency Table'!$M$3:$N$6,2, FALSE)</f>
        <v>EUR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5.75" hidden="1" customHeight="1">
      <c r="A804" s="3" t="s">
        <v>255</v>
      </c>
      <c r="B804" s="3" t="s">
        <v>244</v>
      </c>
      <c r="C804" s="3" t="s">
        <v>256</v>
      </c>
      <c r="D804" s="4">
        <v>45670.0</v>
      </c>
      <c r="E804" s="3">
        <v>42.0</v>
      </c>
      <c r="F804" s="5">
        <v>2.0</v>
      </c>
      <c r="G804" s="3">
        <v>515.0</v>
      </c>
      <c r="H804" s="3" t="str">
        <f>VLOOKUP(B804,'Currency Table'!$M$3:$N$6,2, FALSE)</f>
        <v>EUR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5.75" hidden="1" customHeight="1">
      <c r="A805" s="3" t="s">
        <v>223</v>
      </c>
      <c r="B805" s="3" t="s">
        <v>244</v>
      </c>
      <c r="C805" s="3" t="s">
        <v>246</v>
      </c>
      <c r="D805" s="4">
        <v>45670.0</v>
      </c>
      <c r="E805" s="3">
        <v>39.0</v>
      </c>
      <c r="F805" s="5">
        <v>2.0</v>
      </c>
      <c r="G805" s="3">
        <v>686.0</v>
      </c>
      <c r="H805" s="3" t="str">
        <f>VLOOKUP(B805,'Currency Table'!$M$3:$N$6,2, FALSE)</f>
        <v>EUR</v>
      </c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5.75" hidden="1" customHeight="1">
      <c r="A806" s="3" t="s">
        <v>247</v>
      </c>
      <c r="B806" s="3" t="s">
        <v>244</v>
      </c>
      <c r="C806" s="3" t="s">
        <v>248</v>
      </c>
      <c r="D806" s="4">
        <v>45670.0</v>
      </c>
      <c r="E806" s="3">
        <v>43.0</v>
      </c>
      <c r="F806" s="5">
        <v>2.0</v>
      </c>
      <c r="G806" s="3">
        <v>548.0</v>
      </c>
      <c r="H806" s="3" t="str">
        <f>VLOOKUP(B806,'Currency Table'!$M$3:$N$6,2, FALSE)</f>
        <v>EUR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5.75" hidden="1" customHeight="1">
      <c r="A807" s="3" t="s">
        <v>224</v>
      </c>
      <c r="B807" s="3" t="s">
        <v>244</v>
      </c>
      <c r="C807" s="3" t="s">
        <v>245</v>
      </c>
      <c r="D807" s="4">
        <v>45670.0</v>
      </c>
      <c r="E807" s="3">
        <v>40.0</v>
      </c>
      <c r="F807" s="5">
        <v>3.0</v>
      </c>
      <c r="G807" s="3">
        <v>633.0</v>
      </c>
      <c r="H807" s="3" t="str">
        <f>VLOOKUP(B807,'Currency Table'!$M$3:$N$6,2, FALSE)</f>
        <v>EUR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5.75" hidden="1" customHeight="1">
      <c r="A808" s="3" t="s">
        <v>258</v>
      </c>
      <c r="B808" s="3" t="s">
        <v>244</v>
      </c>
      <c r="C808" s="3" t="s">
        <v>256</v>
      </c>
      <c r="D808" s="4">
        <v>45670.0</v>
      </c>
      <c r="E808" s="3">
        <v>39.0</v>
      </c>
      <c r="F808" s="5">
        <v>0.0</v>
      </c>
      <c r="G808" s="3">
        <v>684.0</v>
      </c>
      <c r="H808" s="3" t="str">
        <f>VLOOKUP(B808,'Currency Table'!$M$3:$N$6,2, FALSE)</f>
        <v>EUR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5.75" hidden="1" customHeight="1">
      <c r="A809" s="3" t="s">
        <v>254</v>
      </c>
      <c r="B809" s="3" t="s">
        <v>244</v>
      </c>
      <c r="C809" s="3" t="s">
        <v>245</v>
      </c>
      <c r="D809" s="4">
        <v>45670.0</v>
      </c>
      <c r="E809" s="3">
        <v>11.0</v>
      </c>
      <c r="F809" s="5">
        <v>1.0</v>
      </c>
      <c r="G809" s="3">
        <v>246.0</v>
      </c>
      <c r="H809" s="3" t="str">
        <f>VLOOKUP(B809,'Currency Table'!$M$3:$N$6,2, FALSE)</f>
        <v>EUR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5.75" hidden="1" customHeight="1">
      <c r="A810" s="3" t="s">
        <v>253</v>
      </c>
      <c r="B810" s="3" t="s">
        <v>244</v>
      </c>
      <c r="C810" s="3" t="s">
        <v>251</v>
      </c>
      <c r="D810" s="4">
        <v>45670.0</v>
      </c>
      <c r="E810" s="3">
        <v>30.0</v>
      </c>
      <c r="F810" s="5">
        <v>4.0</v>
      </c>
      <c r="G810" s="3">
        <v>366.0</v>
      </c>
      <c r="H810" s="3" t="str">
        <f>VLOOKUP(B810,'Currency Table'!$M$3:$N$6,2, FALSE)</f>
        <v>EUR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5.75" hidden="1" customHeight="1">
      <c r="A811" s="3" t="s">
        <v>249</v>
      </c>
      <c r="B811" s="3" t="s">
        <v>244</v>
      </c>
      <c r="C811" s="3" t="s">
        <v>248</v>
      </c>
      <c r="D811" s="4">
        <v>45670.0</v>
      </c>
      <c r="E811" s="3">
        <v>42.0</v>
      </c>
      <c r="F811" s="5">
        <v>6.0</v>
      </c>
      <c r="G811" s="3">
        <v>570.0</v>
      </c>
      <c r="H811" s="3" t="str">
        <f>VLOOKUP(B811,'Currency Table'!$M$3:$N$6,2, FALSE)</f>
        <v>EUR</v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5.75" hidden="1" customHeight="1">
      <c r="A812" s="3" t="s">
        <v>264</v>
      </c>
      <c r="B812" s="3" t="s">
        <v>244</v>
      </c>
      <c r="C812" s="3" t="s">
        <v>251</v>
      </c>
      <c r="D812" s="4">
        <v>45670.0</v>
      </c>
      <c r="E812" s="3">
        <v>38.0</v>
      </c>
      <c r="F812" s="5">
        <v>5.0</v>
      </c>
      <c r="G812" s="3">
        <v>647.0</v>
      </c>
      <c r="H812" s="3" t="str">
        <f>VLOOKUP(B812,'Currency Table'!$M$3:$N$6,2, FALSE)</f>
        <v>EUR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5.75" hidden="1" customHeight="1">
      <c r="A813" s="3" t="s">
        <v>269</v>
      </c>
      <c r="B813" s="3" t="s">
        <v>244</v>
      </c>
      <c r="C813" s="3" t="s">
        <v>251</v>
      </c>
      <c r="D813" s="4">
        <v>45670.0</v>
      </c>
      <c r="E813" s="3">
        <v>34.0</v>
      </c>
      <c r="F813" s="5">
        <v>1.0</v>
      </c>
      <c r="G813" s="3">
        <v>641.0</v>
      </c>
      <c r="H813" s="3" t="str">
        <f>VLOOKUP(B813,'Currency Table'!$M$3:$N$6,2, FALSE)</f>
        <v>EUR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5.75" hidden="1" customHeight="1">
      <c r="A814" s="3" t="s">
        <v>257</v>
      </c>
      <c r="B814" s="3" t="s">
        <v>244</v>
      </c>
      <c r="C814" s="3" t="s">
        <v>245</v>
      </c>
      <c r="D814" s="4">
        <v>45670.0</v>
      </c>
      <c r="E814" s="3">
        <v>37.0</v>
      </c>
      <c r="F814" s="5">
        <v>4.0</v>
      </c>
      <c r="G814" s="3">
        <v>513.0</v>
      </c>
      <c r="H814" s="3" t="str">
        <f>VLOOKUP(B814,'Currency Table'!$M$3:$N$6,2, FALSE)</f>
        <v>EUR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5.75" hidden="1" customHeight="1">
      <c r="A815" s="3" t="s">
        <v>226</v>
      </c>
      <c r="B815" s="3" t="s">
        <v>244</v>
      </c>
      <c r="C815" s="3" t="s">
        <v>245</v>
      </c>
      <c r="D815" s="4">
        <v>45670.0</v>
      </c>
      <c r="E815" s="3">
        <v>59.0</v>
      </c>
      <c r="F815" s="5">
        <v>4.0</v>
      </c>
      <c r="G815" s="3">
        <v>851.0</v>
      </c>
      <c r="H815" s="3" t="str">
        <f>VLOOKUP(B815,'Currency Table'!$M$3:$N$6,2, FALSE)</f>
        <v>EUR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5.75" hidden="1" customHeight="1">
      <c r="A816" s="3" t="s">
        <v>271</v>
      </c>
      <c r="B816" s="3" t="s">
        <v>244</v>
      </c>
      <c r="C816" s="3" t="s">
        <v>251</v>
      </c>
      <c r="D816" s="4">
        <v>45670.0</v>
      </c>
      <c r="E816" s="3">
        <v>46.0</v>
      </c>
      <c r="F816" s="5">
        <v>1.0</v>
      </c>
      <c r="G816" s="3">
        <v>820.0</v>
      </c>
      <c r="H816" s="3" t="str">
        <f>VLOOKUP(B816,'Currency Table'!$M$3:$N$6,2, FALSE)</f>
        <v>EUR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5.75" hidden="1" customHeight="1">
      <c r="A817" s="3" t="s">
        <v>240</v>
      </c>
      <c r="B817" s="3" t="s">
        <v>244</v>
      </c>
      <c r="C817" s="3" t="s">
        <v>246</v>
      </c>
      <c r="D817" s="4">
        <v>45670.0</v>
      </c>
      <c r="E817" s="3">
        <v>31.0</v>
      </c>
      <c r="F817" s="5">
        <v>0.0</v>
      </c>
      <c r="G817" s="3">
        <v>676.0</v>
      </c>
      <c r="H817" s="3" t="str">
        <f>VLOOKUP(B817,'Currency Table'!$M$3:$N$6,2, FALSE)</f>
        <v>EUR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5.75" hidden="1" customHeight="1">
      <c r="A818" s="3" t="s">
        <v>261</v>
      </c>
      <c r="B818" s="3" t="s">
        <v>244</v>
      </c>
      <c r="C818" s="3" t="s">
        <v>256</v>
      </c>
      <c r="D818" s="4">
        <v>45670.0</v>
      </c>
      <c r="E818" s="3">
        <v>50.0</v>
      </c>
      <c r="F818" s="5">
        <v>4.0</v>
      </c>
      <c r="G818" s="3">
        <v>859.0</v>
      </c>
      <c r="H818" s="3" t="str">
        <f>VLOOKUP(B818,'Currency Table'!$M$3:$N$6,2, FALSE)</f>
        <v>EUR</v>
      </c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5.75" hidden="1" customHeight="1">
      <c r="A819" s="3" t="s">
        <v>230</v>
      </c>
      <c r="B819" s="3" t="s">
        <v>244</v>
      </c>
      <c r="C819" s="3" t="s">
        <v>245</v>
      </c>
      <c r="D819" s="4">
        <v>45670.0</v>
      </c>
      <c r="E819" s="3">
        <v>52.0</v>
      </c>
      <c r="F819" s="5">
        <v>5.0</v>
      </c>
      <c r="G819" s="3">
        <v>761.0</v>
      </c>
      <c r="H819" s="3" t="str">
        <f>VLOOKUP(B819,'Currency Table'!$M$3:$N$6,2, FALSE)</f>
        <v>EUR</v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5.75" hidden="1" customHeight="1">
      <c r="A820" s="3" t="s">
        <v>260</v>
      </c>
      <c r="B820" s="3" t="s">
        <v>244</v>
      </c>
      <c r="C820" s="3" t="s">
        <v>246</v>
      </c>
      <c r="D820" s="4">
        <v>45670.0</v>
      </c>
      <c r="E820" s="3">
        <v>55.0</v>
      </c>
      <c r="F820" s="5">
        <v>0.0</v>
      </c>
      <c r="G820" s="3">
        <v>825.0</v>
      </c>
      <c r="H820" s="3" t="str">
        <f>VLOOKUP(B820,'Currency Table'!$M$3:$N$6,2, FALSE)</f>
        <v>EUR</v>
      </c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5.75" hidden="1" customHeight="1">
      <c r="A821" s="3" t="s">
        <v>262</v>
      </c>
      <c r="B821" s="3" t="s">
        <v>244</v>
      </c>
      <c r="C821" s="3" t="s">
        <v>256</v>
      </c>
      <c r="D821" s="4">
        <v>45670.0</v>
      </c>
      <c r="E821" s="3">
        <v>66.0</v>
      </c>
      <c r="F821" s="5">
        <v>4.0</v>
      </c>
      <c r="G821" s="3">
        <v>1016.0</v>
      </c>
      <c r="H821" s="3" t="str">
        <f>VLOOKUP(B821,'Currency Table'!$M$3:$N$6,2, FALSE)</f>
        <v>EUR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5.75" hidden="1" customHeight="1">
      <c r="A822" s="3" t="s">
        <v>273</v>
      </c>
      <c r="B822" s="3" t="s">
        <v>244</v>
      </c>
      <c r="C822" s="3" t="s">
        <v>251</v>
      </c>
      <c r="D822" s="4">
        <v>45670.0</v>
      </c>
      <c r="E822" s="3">
        <v>18.0</v>
      </c>
      <c r="F822" s="5">
        <v>3.0</v>
      </c>
      <c r="G822" s="3">
        <v>286.0</v>
      </c>
      <c r="H822" s="3" t="str">
        <f>VLOOKUP(B822,'Currency Table'!$M$3:$N$6,2, FALSE)</f>
        <v>EUR</v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5.75" hidden="1" customHeight="1">
      <c r="A823" s="3" t="s">
        <v>276</v>
      </c>
      <c r="B823" s="3" t="s">
        <v>244</v>
      </c>
      <c r="C823" s="3" t="s">
        <v>251</v>
      </c>
      <c r="D823" s="4">
        <v>45670.0</v>
      </c>
      <c r="E823" s="3">
        <v>69.0</v>
      </c>
      <c r="F823" s="5">
        <v>2.0</v>
      </c>
      <c r="G823" s="3">
        <v>1035.0</v>
      </c>
      <c r="H823" s="3" t="str">
        <f>VLOOKUP(B823,'Currency Table'!$M$3:$N$6,2, FALSE)</f>
        <v>EUR</v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5.75" hidden="1" customHeight="1">
      <c r="A824" s="3" t="s">
        <v>266</v>
      </c>
      <c r="B824" s="3" t="s">
        <v>244</v>
      </c>
      <c r="C824" s="3" t="s">
        <v>246</v>
      </c>
      <c r="D824" s="4">
        <v>45670.0</v>
      </c>
      <c r="E824" s="3">
        <v>52.0</v>
      </c>
      <c r="F824" s="5">
        <v>5.0</v>
      </c>
      <c r="G824" s="3">
        <v>753.0</v>
      </c>
      <c r="H824" s="3" t="str">
        <f>VLOOKUP(B824,'Currency Table'!$M$3:$N$6,2, FALSE)</f>
        <v>EUR</v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5.75" hidden="1" customHeight="1">
      <c r="A825" s="3" t="s">
        <v>225</v>
      </c>
      <c r="B825" s="3" t="s">
        <v>244</v>
      </c>
      <c r="C825" s="3" t="s">
        <v>246</v>
      </c>
      <c r="D825" s="4">
        <v>45670.0</v>
      </c>
      <c r="E825" s="3">
        <v>56.0</v>
      </c>
      <c r="F825" s="5">
        <v>2.0</v>
      </c>
      <c r="G825" s="3">
        <v>731.0</v>
      </c>
      <c r="H825" s="3" t="str">
        <f>VLOOKUP(B825,'Currency Table'!$M$3:$N$6,2, FALSE)</f>
        <v>EUR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5.75" hidden="1" customHeight="1">
      <c r="A826" s="3" t="s">
        <v>252</v>
      </c>
      <c r="B826" s="3" t="s">
        <v>244</v>
      </c>
      <c r="C826" s="3" t="s">
        <v>248</v>
      </c>
      <c r="D826" s="4">
        <v>45670.0</v>
      </c>
      <c r="E826" s="3">
        <v>58.0</v>
      </c>
      <c r="F826" s="5">
        <v>4.0</v>
      </c>
      <c r="G826" s="3">
        <v>715.0</v>
      </c>
      <c r="H826" s="3" t="str">
        <f>VLOOKUP(B826,'Currency Table'!$M$3:$N$6,2, FALSE)</f>
        <v>EUR</v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5.75" hidden="1" customHeight="1">
      <c r="A827" s="3" t="s">
        <v>265</v>
      </c>
      <c r="B827" s="3" t="s">
        <v>244</v>
      </c>
      <c r="C827" s="3" t="s">
        <v>256</v>
      </c>
      <c r="D827" s="4">
        <v>45670.0</v>
      </c>
      <c r="E827" s="3">
        <v>16.0</v>
      </c>
      <c r="F827" s="5">
        <v>5.0</v>
      </c>
      <c r="G827" s="3">
        <v>293.0</v>
      </c>
      <c r="H827" s="3" t="str">
        <f>VLOOKUP(B827,'Currency Table'!$M$3:$N$6,2, FALSE)</f>
        <v>EUR</v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5.75" hidden="1" customHeight="1">
      <c r="A828" s="3" t="s">
        <v>229</v>
      </c>
      <c r="B828" s="3" t="s">
        <v>244</v>
      </c>
      <c r="C828" s="3" t="s">
        <v>245</v>
      </c>
      <c r="D828" s="4">
        <v>45670.0</v>
      </c>
      <c r="E828" s="3">
        <v>69.0</v>
      </c>
      <c r="F828" s="5">
        <v>3.0</v>
      </c>
      <c r="G828" s="3">
        <v>1014.0</v>
      </c>
      <c r="H828" s="3" t="str">
        <f>VLOOKUP(B828,'Currency Table'!$M$3:$N$6,2, FALSE)</f>
        <v>EUR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5.75" hidden="1" customHeight="1">
      <c r="A829" s="3" t="s">
        <v>231</v>
      </c>
      <c r="B829" s="3" t="s">
        <v>244</v>
      </c>
      <c r="C829" s="3" t="s">
        <v>245</v>
      </c>
      <c r="D829" s="4">
        <v>45670.0</v>
      </c>
      <c r="E829" s="3">
        <v>42.0</v>
      </c>
      <c r="F829" s="5">
        <v>4.0</v>
      </c>
      <c r="G829" s="3">
        <v>587.0</v>
      </c>
      <c r="H829" s="3" t="str">
        <f>VLOOKUP(B829,'Currency Table'!$M$3:$N$6,2, FALSE)</f>
        <v>EUR</v>
      </c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5.75" hidden="1" customHeight="1">
      <c r="A830" s="3" t="s">
        <v>267</v>
      </c>
      <c r="B830" s="3" t="s">
        <v>244</v>
      </c>
      <c r="C830" s="3" t="s">
        <v>256</v>
      </c>
      <c r="D830" s="4">
        <v>45670.0</v>
      </c>
      <c r="E830" s="3">
        <v>42.0</v>
      </c>
      <c r="F830" s="5">
        <v>3.0</v>
      </c>
      <c r="G830" s="3">
        <v>560.0</v>
      </c>
      <c r="H830" s="3" t="str">
        <f>VLOOKUP(B830,'Currency Table'!$M$3:$N$6,2, FALSE)</f>
        <v>EUR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5.75" hidden="1" customHeight="1">
      <c r="A831" s="3" t="s">
        <v>286</v>
      </c>
      <c r="B831" s="3" t="s">
        <v>244</v>
      </c>
      <c r="C831" s="3" t="s">
        <v>251</v>
      </c>
      <c r="D831" s="4">
        <v>45670.0</v>
      </c>
      <c r="E831" s="3">
        <v>12.0</v>
      </c>
      <c r="F831" s="5">
        <v>1.0</v>
      </c>
      <c r="G831" s="3">
        <v>213.0</v>
      </c>
      <c r="H831" s="3" t="str">
        <f>VLOOKUP(B831,'Currency Table'!$M$3:$N$6,2, FALSE)</f>
        <v>EUR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5.75" hidden="1" customHeight="1">
      <c r="A832" s="3" t="s">
        <v>291</v>
      </c>
      <c r="B832" s="3" t="s">
        <v>244</v>
      </c>
      <c r="C832" s="3" t="s">
        <v>251</v>
      </c>
      <c r="D832" s="4">
        <v>45670.0</v>
      </c>
      <c r="E832" s="3">
        <v>43.0</v>
      </c>
      <c r="F832" s="5">
        <v>5.0</v>
      </c>
      <c r="G832" s="3">
        <v>667.0</v>
      </c>
      <c r="H832" s="3" t="str">
        <f>VLOOKUP(B832,'Currency Table'!$M$3:$N$6,2, FALSE)</f>
        <v>EUR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5.75" hidden="1" customHeight="1">
      <c r="A833" s="3" t="s">
        <v>294</v>
      </c>
      <c r="B833" s="3" t="s">
        <v>244</v>
      </c>
      <c r="C833" s="3" t="s">
        <v>251</v>
      </c>
      <c r="D833" s="4">
        <v>45670.0</v>
      </c>
      <c r="E833" s="3">
        <v>11.0</v>
      </c>
      <c r="F833" s="5">
        <v>0.0</v>
      </c>
      <c r="G833" s="3">
        <v>162.0</v>
      </c>
      <c r="H833" s="3" t="str">
        <f>VLOOKUP(B833,'Currency Table'!$M$3:$N$6,2, FALSE)</f>
        <v>EUR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5.75" hidden="1" customHeight="1">
      <c r="A834" s="3" t="s">
        <v>259</v>
      </c>
      <c r="B834" s="3" t="s">
        <v>244</v>
      </c>
      <c r="C834" s="3" t="s">
        <v>248</v>
      </c>
      <c r="D834" s="4">
        <v>45670.0</v>
      </c>
      <c r="E834" s="3">
        <v>50.0</v>
      </c>
      <c r="F834" s="5">
        <v>1.0</v>
      </c>
      <c r="G834" s="3">
        <v>797.0</v>
      </c>
      <c r="H834" s="3" t="str">
        <f>VLOOKUP(B834,'Currency Table'!$M$3:$N$6,2, FALSE)</f>
        <v>EUR</v>
      </c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5.75" hidden="1" customHeight="1">
      <c r="A835" s="3" t="s">
        <v>238</v>
      </c>
      <c r="B835" s="3" t="s">
        <v>244</v>
      </c>
      <c r="C835" s="3" t="s">
        <v>246</v>
      </c>
      <c r="D835" s="4">
        <v>45670.0</v>
      </c>
      <c r="E835" s="3">
        <v>43.0</v>
      </c>
      <c r="F835" s="5">
        <v>5.0</v>
      </c>
      <c r="G835" s="3">
        <v>544.0</v>
      </c>
      <c r="H835" s="3" t="str">
        <f>VLOOKUP(B835,'Currency Table'!$M$3:$N$6,2, FALSE)</f>
        <v>EUR</v>
      </c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5.75" hidden="1" customHeight="1">
      <c r="A836" s="3" t="s">
        <v>270</v>
      </c>
      <c r="B836" s="3" t="s">
        <v>244</v>
      </c>
      <c r="C836" s="3" t="s">
        <v>256</v>
      </c>
      <c r="D836" s="4">
        <v>45670.0</v>
      </c>
      <c r="E836" s="3">
        <v>37.0</v>
      </c>
      <c r="F836" s="5">
        <v>4.0</v>
      </c>
      <c r="G836" s="3">
        <v>653.0</v>
      </c>
      <c r="H836" s="3" t="str">
        <f>VLOOKUP(B836,'Currency Table'!$M$3:$N$6,2, FALSE)</f>
        <v>EUR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5.75" hidden="1" customHeight="1">
      <c r="A837" s="3" t="s">
        <v>239</v>
      </c>
      <c r="B837" s="3" t="s">
        <v>244</v>
      </c>
      <c r="C837" s="3" t="s">
        <v>246</v>
      </c>
      <c r="D837" s="4">
        <v>45670.0</v>
      </c>
      <c r="E837" s="3">
        <v>22.0</v>
      </c>
      <c r="F837" s="5">
        <v>5.0</v>
      </c>
      <c r="G837" s="3">
        <v>382.0</v>
      </c>
      <c r="H837" s="3" t="str">
        <f>VLOOKUP(B837,'Currency Table'!$M$3:$N$6,2, FALSE)</f>
        <v>EUR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5.75" hidden="1" customHeight="1">
      <c r="A838" s="3" t="s">
        <v>263</v>
      </c>
      <c r="B838" s="3" t="s">
        <v>244</v>
      </c>
      <c r="C838" s="3" t="s">
        <v>248</v>
      </c>
      <c r="D838" s="4">
        <v>45670.0</v>
      </c>
      <c r="E838" s="3">
        <v>69.0</v>
      </c>
      <c r="F838" s="5">
        <v>1.0</v>
      </c>
      <c r="G838" s="3">
        <v>1007.0</v>
      </c>
      <c r="H838" s="3" t="str">
        <f>VLOOKUP(B838,'Currency Table'!$M$3:$N$6,2, FALSE)</f>
        <v>EUR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5.75" hidden="1" customHeight="1">
      <c r="A839" s="3" t="s">
        <v>268</v>
      </c>
      <c r="B839" s="3" t="s">
        <v>244</v>
      </c>
      <c r="C839" s="3" t="s">
        <v>248</v>
      </c>
      <c r="D839" s="4">
        <v>45670.0</v>
      </c>
      <c r="E839" s="3">
        <v>58.0</v>
      </c>
      <c r="F839" s="5">
        <v>3.0</v>
      </c>
      <c r="G839" s="3">
        <v>752.0</v>
      </c>
      <c r="H839" s="3" t="str">
        <f>VLOOKUP(B839,'Currency Table'!$M$3:$N$6,2, FALSE)</f>
        <v>EUR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5.75" hidden="1" customHeight="1">
      <c r="A840" s="3" t="s">
        <v>280</v>
      </c>
      <c r="B840" s="3" t="s">
        <v>244</v>
      </c>
      <c r="C840" s="3" t="s">
        <v>245</v>
      </c>
      <c r="D840" s="4">
        <v>45670.0</v>
      </c>
      <c r="E840" s="3">
        <v>43.0</v>
      </c>
      <c r="F840" s="5">
        <v>2.0</v>
      </c>
      <c r="G840" s="3">
        <v>506.0</v>
      </c>
      <c r="H840" s="3" t="str">
        <f>VLOOKUP(B840,'Currency Table'!$M$3:$N$6,2, FALSE)</f>
        <v>EUR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5.75" hidden="1" customHeight="1">
      <c r="A841" s="3" t="s">
        <v>281</v>
      </c>
      <c r="B841" s="3" t="s">
        <v>244</v>
      </c>
      <c r="C841" s="3" t="s">
        <v>248</v>
      </c>
      <c r="D841" s="4">
        <v>45670.0</v>
      </c>
      <c r="E841" s="3">
        <v>22.0</v>
      </c>
      <c r="F841" s="5">
        <v>3.0</v>
      </c>
      <c r="G841" s="3">
        <v>336.0</v>
      </c>
      <c r="H841" s="3" t="str">
        <f>VLOOKUP(B841,'Currency Table'!$M$3:$N$6,2, FALSE)</f>
        <v>EUR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5.75" hidden="1" customHeight="1">
      <c r="A842" s="3" t="s">
        <v>227</v>
      </c>
      <c r="B842" s="3" t="s">
        <v>244</v>
      </c>
      <c r="C842" s="3" t="s">
        <v>245</v>
      </c>
      <c r="D842" s="4">
        <v>45670.0</v>
      </c>
      <c r="E842" s="3">
        <v>10.0</v>
      </c>
      <c r="F842" s="5">
        <v>5.0</v>
      </c>
      <c r="G842" s="3">
        <v>235.0</v>
      </c>
      <c r="H842" s="3" t="str">
        <f>VLOOKUP(B842,'Currency Table'!$M$3:$N$6,2, FALSE)</f>
        <v>EUR</v>
      </c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5.75" hidden="1" customHeight="1">
      <c r="A843" s="3" t="s">
        <v>297</v>
      </c>
      <c r="B843" s="3" t="s">
        <v>244</v>
      </c>
      <c r="C843" s="3" t="s">
        <v>251</v>
      </c>
      <c r="D843" s="4">
        <v>45670.0</v>
      </c>
      <c r="E843" s="3">
        <v>17.0</v>
      </c>
      <c r="F843" s="5">
        <v>2.0</v>
      </c>
      <c r="G843" s="3">
        <v>352.0</v>
      </c>
      <c r="H843" s="3" t="str">
        <f>VLOOKUP(B843,'Currency Table'!$M$3:$N$6,2, FALSE)</f>
        <v>EUR</v>
      </c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5.75" hidden="1" customHeight="1">
      <c r="A844" s="3" t="s">
        <v>282</v>
      </c>
      <c r="B844" s="3" t="s">
        <v>244</v>
      </c>
      <c r="C844" s="3" t="s">
        <v>245</v>
      </c>
      <c r="D844" s="4">
        <v>45670.0</v>
      </c>
      <c r="E844" s="3">
        <v>40.0</v>
      </c>
      <c r="F844" s="5">
        <v>4.0</v>
      </c>
      <c r="G844" s="3">
        <v>558.0</v>
      </c>
      <c r="H844" s="3" t="str">
        <f>VLOOKUP(B844,'Currency Table'!$M$3:$N$6,2, FALSE)</f>
        <v>EUR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5.75" hidden="1" customHeight="1">
      <c r="A845" s="3" t="s">
        <v>272</v>
      </c>
      <c r="B845" s="3" t="s">
        <v>244</v>
      </c>
      <c r="C845" s="3" t="s">
        <v>256</v>
      </c>
      <c r="D845" s="4">
        <v>45670.0</v>
      </c>
      <c r="E845" s="3">
        <v>28.0</v>
      </c>
      <c r="F845" s="5">
        <v>5.0</v>
      </c>
      <c r="G845" s="3">
        <v>405.0</v>
      </c>
      <c r="H845" s="3" t="str">
        <f>VLOOKUP(B845,'Currency Table'!$M$3:$N$6,2, FALSE)</f>
        <v>EUR</v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5.75" hidden="1" customHeight="1">
      <c r="A846" s="3" t="s">
        <v>277</v>
      </c>
      <c r="B846" s="3" t="s">
        <v>244</v>
      </c>
      <c r="C846" s="3" t="s">
        <v>246</v>
      </c>
      <c r="D846" s="4">
        <v>45670.0</v>
      </c>
      <c r="E846" s="3">
        <v>28.0</v>
      </c>
      <c r="F846" s="5">
        <v>2.0</v>
      </c>
      <c r="G846" s="3">
        <v>455.0</v>
      </c>
      <c r="H846" s="3" t="str">
        <f>VLOOKUP(B846,'Currency Table'!$M$3:$N$6,2, FALSE)</f>
        <v>EUR</v>
      </c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5.75" hidden="1" customHeight="1">
      <c r="A847" s="3" t="s">
        <v>303</v>
      </c>
      <c r="B847" s="3" t="s">
        <v>244</v>
      </c>
      <c r="C847" s="3" t="s">
        <v>251</v>
      </c>
      <c r="D847" s="4">
        <v>45670.0</v>
      </c>
      <c r="E847" s="3">
        <v>44.0</v>
      </c>
      <c r="F847" s="5">
        <v>1.0</v>
      </c>
      <c r="G847" s="3">
        <v>550.0</v>
      </c>
      <c r="H847" s="3" t="str">
        <f>VLOOKUP(B847,'Currency Table'!$M$3:$N$6,2, FALSE)</f>
        <v>EUR</v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5.75" hidden="1" customHeight="1">
      <c r="A848" s="3" t="s">
        <v>307</v>
      </c>
      <c r="B848" s="3" t="s">
        <v>244</v>
      </c>
      <c r="C848" s="3" t="s">
        <v>251</v>
      </c>
      <c r="D848" s="4">
        <v>45670.0</v>
      </c>
      <c r="E848" s="3">
        <v>21.0</v>
      </c>
      <c r="F848" s="5">
        <v>7.0</v>
      </c>
      <c r="G848" s="3">
        <v>467.0</v>
      </c>
      <c r="H848" s="3" t="str">
        <f>VLOOKUP(B848,'Currency Table'!$M$3:$N$6,2, FALSE)</f>
        <v>EUR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5.75" hidden="1" customHeight="1">
      <c r="A849" s="3" t="s">
        <v>284</v>
      </c>
      <c r="B849" s="3" t="s">
        <v>244</v>
      </c>
      <c r="C849" s="3" t="s">
        <v>248</v>
      </c>
      <c r="D849" s="4">
        <v>45670.0</v>
      </c>
      <c r="E849" s="3">
        <v>52.0</v>
      </c>
      <c r="F849" s="5">
        <v>5.0</v>
      </c>
      <c r="G849" s="3">
        <v>831.0</v>
      </c>
      <c r="H849" s="3" t="str">
        <f>VLOOKUP(B849,'Currency Table'!$M$3:$N$6,2, FALSE)</f>
        <v>EUR</v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5.75" hidden="1" customHeight="1">
      <c r="A850" s="3" t="s">
        <v>278</v>
      </c>
      <c r="B850" s="3" t="s">
        <v>244</v>
      </c>
      <c r="C850" s="3" t="s">
        <v>246</v>
      </c>
      <c r="D850" s="4">
        <v>45670.0</v>
      </c>
      <c r="E850" s="3">
        <v>32.0</v>
      </c>
      <c r="F850" s="5">
        <v>3.0</v>
      </c>
      <c r="G850" s="3">
        <v>536.0</v>
      </c>
      <c r="H850" s="3" t="str">
        <f>VLOOKUP(B850,'Currency Table'!$M$3:$N$6,2, FALSE)</f>
        <v>EUR</v>
      </c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5.75" hidden="1" customHeight="1">
      <c r="A851" s="3" t="s">
        <v>274</v>
      </c>
      <c r="B851" s="3" t="s">
        <v>244</v>
      </c>
      <c r="C851" s="3" t="s">
        <v>256</v>
      </c>
      <c r="D851" s="4">
        <v>45670.0</v>
      </c>
      <c r="E851" s="3">
        <v>26.0</v>
      </c>
      <c r="F851" s="5">
        <v>2.0</v>
      </c>
      <c r="G851" s="3">
        <v>455.0</v>
      </c>
      <c r="H851" s="3" t="str">
        <f>VLOOKUP(B851,'Currency Table'!$M$3:$N$6,2, FALSE)</f>
        <v>EUR</v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5.75" hidden="1" customHeight="1">
      <c r="A852" s="3" t="s">
        <v>298</v>
      </c>
      <c r="B852" s="3" t="s">
        <v>244</v>
      </c>
      <c r="C852" s="3" t="s">
        <v>245</v>
      </c>
      <c r="D852" s="4">
        <v>45670.0</v>
      </c>
      <c r="E852" s="3">
        <v>22.0</v>
      </c>
      <c r="F852" s="5">
        <v>5.0</v>
      </c>
      <c r="G852" s="3">
        <v>474.0</v>
      </c>
      <c r="H852" s="3" t="str">
        <f>VLOOKUP(B852,'Currency Table'!$M$3:$N$6,2, FALSE)</f>
        <v>EUR</v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5.75" hidden="1" customHeight="1">
      <c r="A853" s="3" t="s">
        <v>314</v>
      </c>
      <c r="B853" s="3" t="s">
        <v>244</v>
      </c>
      <c r="C853" s="3" t="s">
        <v>251</v>
      </c>
      <c r="D853" s="4">
        <v>45670.0</v>
      </c>
      <c r="E853" s="3">
        <v>29.0</v>
      </c>
      <c r="F853" s="5">
        <v>1.0</v>
      </c>
      <c r="G853" s="3">
        <v>495.0</v>
      </c>
      <c r="H853" s="3" t="str">
        <f>VLOOKUP(B853,'Currency Table'!$M$3:$N$6,2, FALSE)</f>
        <v>EUR</v>
      </c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5.75" hidden="1" customHeight="1">
      <c r="A854" s="3" t="s">
        <v>299</v>
      </c>
      <c r="B854" s="3" t="s">
        <v>244</v>
      </c>
      <c r="C854" s="3" t="s">
        <v>245</v>
      </c>
      <c r="D854" s="4">
        <v>45670.0</v>
      </c>
      <c r="E854" s="3">
        <v>44.0</v>
      </c>
      <c r="F854" s="5">
        <v>0.0</v>
      </c>
      <c r="G854" s="3">
        <v>678.0</v>
      </c>
      <c r="H854" s="3" t="str">
        <f>VLOOKUP(B854,'Currency Table'!$M$3:$N$6,2, FALSE)</f>
        <v>EUR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5.75" hidden="1" customHeight="1">
      <c r="A855" s="3" t="s">
        <v>315</v>
      </c>
      <c r="B855" s="3" t="s">
        <v>244</v>
      </c>
      <c r="C855" s="3" t="s">
        <v>251</v>
      </c>
      <c r="D855" s="4">
        <v>45670.0</v>
      </c>
      <c r="E855" s="3">
        <v>39.0</v>
      </c>
      <c r="F855" s="5">
        <v>3.0</v>
      </c>
      <c r="G855" s="3">
        <v>523.0</v>
      </c>
      <c r="H855" s="3" t="str">
        <f>VLOOKUP(B855,'Currency Table'!$M$3:$N$6,2, FALSE)</f>
        <v>EUR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5.75" hidden="1" customHeight="1">
      <c r="A856" s="3" t="s">
        <v>233</v>
      </c>
      <c r="B856" s="3" t="s">
        <v>244</v>
      </c>
      <c r="C856" s="3" t="s">
        <v>246</v>
      </c>
      <c r="D856" s="4">
        <v>45670.0</v>
      </c>
      <c r="E856" s="3">
        <v>22.0</v>
      </c>
      <c r="F856" s="5">
        <v>0.0</v>
      </c>
      <c r="G856" s="3">
        <v>431.0</v>
      </c>
      <c r="H856" s="3" t="str">
        <f>VLOOKUP(B856,'Currency Table'!$M$3:$N$6,2, FALSE)</f>
        <v>EUR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5.75" hidden="1" customHeight="1">
      <c r="A857" s="3" t="s">
        <v>324</v>
      </c>
      <c r="B857" s="3" t="s">
        <v>244</v>
      </c>
      <c r="C857" s="3" t="s">
        <v>251</v>
      </c>
      <c r="D857" s="4">
        <v>45670.0</v>
      </c>
      <c r="E857" s="3">
        <v>31.0</v>
      </c>
      <c r="F857" s="5">
        <v>4.0</v>
      </c>
      <c r="G857" s="3">
        <v>660.0</v>
      </c>
      <c r="H857" s="3" t="str">
        <f>VLOOKUP(B857,'Currency Table'!$M$3:$N$6,2, FALSE)</f>
        <v>EUR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5.75" hidden="1" customHeight="1">
      <c r="A858" s="3" t="s">
        <v>302</v>
      </c>
      <c r="B858" s="3" t="s">
        <v>244</v>
      </c>
      <c r="C858" s="3" t="s">
        <v>245</v>
      </c>
      <c r="D858" s="4">
        <v>45670.0</v>
      </c>
      <c r="E858" s="3">
        <v>38.0</v>
      </c>
      <c r="F858" s="5">
        <v>3.0</v>
      </c>
      <c r="G858" s="3">
        <v>579.0</v>
      </c>
      <c r="H858" s="3" t="str">
        <f>VLOOKUP(B858,'Currency Table'!$M$3:$N$6,2, FALSE)</f>
        <v>EUR</v>
      </c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5.75" hidden="1" customHeight="1">
      <c r="A859" s="3" t="s">
        <v>305</v>
      </c>
      <c r="B859" s="3" t="s">
        <v>244</v>
      </c>
      <c r="C859" s="3" t="s">
        <v>245</v>
      </c>
      <c r="D859" s="4">
        <v>45670.0</v>
      </c>
      <c r="E859" s="3">
        <v>11.0</v>
      </c>
      <c r="F859" s="5">
        <v>2.0</v>
      </c>
      <c r="G859" s="3">
        <v>151.0</v>
      </c>
      <c r="H859" s="3" t="str">
        <f>VLOOKUP(B859,'Currency Table'!$M$3:$N$6,2, FALSE)</f>
        <v>EUR</v>
      </c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5.75" hidden="1" customHeight="1">
      <c r="A860" s="3" t="s">
        <v>275</v>
      </c>
      <c r="B860" s="3" t="s">
        <v>244</v>
      </c>
      <c r="C860" s="3" t="s">
        <v>256</v>
      </c>
      <c r="D860" s="4">
        <v>45670.0</v>
      </c>
      <c r="E860" s="3">
        <v>68.0</v>
      </c>
      <c r="F860" s="5">
        <v>2.0</v>
      </c>
      <c r="G860" s="3">
        <v>993.0</v>
      </c>
      <c r="H860" s="3" t="str">
        <f>VLOOKUP(B860,'Currency Table'!$M$3:$N$6,2, FALSE)</f>
        <v>EUR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5.75" hidden="1" customHeight="1">
      <c r="A861" s="3" t="s">
        <v>279</v>
      </c>
      <c r="B861" s="3" t="s">
        <v>244</v>
      </c>
      <c r="C861" s="3" t="s">
        <v>256</v>
      </c>
      <c r="D861" s="4">
        <v>45670.0</v>
      </c>
      <c r="E861" s="3">
        <v>31.0</v>
      </c>
      <c r="F861" s="5">
        <v>2.0</v>
      </c>
      <c r="G861" s="3">
        <v>662.0</v>
      </c>
      <c r="H861" s="3" t="str">
        <f>VLOOKUP(B861,'Currency Table'!$M$3:$N$6,2, FALSE)</f>
        <v>EUR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5.75" hidden="1" customHeight="1">
      <c r="A862" s="3" t="s">
        <v>283</v>
      </c>
      <c r="B862" s="3" t="s">
        <v>244</v>
      </c>
      <c r="C862" s="3" t="s">
        <v>256</v>
      </c>
      <c r="D862" s="4">
        <v>45670.0</v>
      </c>
      <c r="E862" s="3">
        <v>51.0</v>
      </c>
      <c r="F862" s="5">
        <v>2.0</v>
      </c>
      <c r="G862" s="3">
        <v>792.0</v>
      </c>
      <c r="H862" s="3" t="str">
        <f>VLOOKUP(B862,'Currency Table'!$M$3:$N$6,2, FALSE)</f>
        <v>EUR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5.75" hidden="1" customHeight="1">
      <c r="A863" s="3" t="s">
        <v>285</v>
      </c>
      <c r="B863" s="3" t="s">
        <v>244</v>
      </c>
      <c r="C863" s="3" t="s">
        <v>256</v>
      </c>
      <c r="D863" s="4">
        <v>45670.0</v>
      </c>
      <c r="E863" s="3">
        <v>56.0</v>
      </c>
      <c r="F863" s="5">
        <v>2.0</v>
      </c>
      <c r="G863" s="3">
        <v>718.0</v>
      </c>
      <c r="H863" s="3" t="str">
        <f>VLOOKUP(B863,'Currency Table'!$M$3:$N$6,2, FALSE)</f>
        <v>EUR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5.75" hidden="1" customHeight="1">
      <c r="A864" s="3" t="s">
        <v>241</v>
      </c>
      <c r="B864" s="3" t="s">
        <v>244</v>
      </c>
      <c r="C864" s="3" t="s">
        <v>246</v>
      </c>
      <c r="D864" s="4">
        <v>45670.0</v>
      </c>
      <c r="E864" s="3">
        <v>63.0</v>
      </c>
      <c r="F864" s="5">
        <v>1.0</v>
      </c>
      <c r="G864" s="3">
        <v>927.0</v>
      </c>
      <c r="H864" s="3" t="str">
        <f>VLOOKUP(B864,'Currency Table'!$M$3:$N$6,2, FALSE)</f>
        <v>EUR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5.75" hidden="1" customHeight="1">
      <c r="A865" s="3" t="s">
        <v>325</v>
      </c>
      <c r="B865" s="3" t="s">
        <v>244</v>
      </c>
      <c r="C865" s="3" t="s">
        <v>251</v>
      </c>
      <c r="D865" s="4">
        <v>45670.0</v>
      </c>
      <c r="E865" s="3">
        <v>56.0</v>
      </c>
      <c r="F865" s="5">
        <v>3.0</v>
      </c>
      <c r="G865" s="3">
        <v>708.0</v>
      </c>
      <c r="H865" s="3" t="str">
        <f>VLOOKUP(B865,'Currency Table'!$M$3:$N$6,2, FALSE)</f>
        <v>EUR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5.75" hidden="1" customHeight="1">
      <c r="A866" s="3" t="s">
        <v>287</v>
      </c>
      <c r="B866" s="3" t="s">
        <v>244</v>
      </c>
      <c r="C866" s="3" t="s">
        <v>256</v>
      </c>
      <c r="D866" s="4">
        <v>45670.0</v>
      </c>
      <c r="E866" s="3">
        <v>25.0</v>
      </c>
      <c r="F866" s="5">
        <v>0.0</v>
      </c>
      <c r="G866" s="3">
        <v>313.0</v>
      </c>
      <c r="H866" s="3" t="str">
        <f>VLOOKUP(B866,'Currency Table'!$M$3:$N$6,2, FALSE)</f>
        <v>EUR</v>
      </c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5.75" hidden="1" customHeight="1">
      <c r="A867" s="3" t="s">
        <v>288</v>
      </c>
      <c r="B867" s="3" t="s">
        <v>244</v>
      </c>
      <c r="C867" s="3" t="s">
        <v>256</v>
      </c>
      <c r="D867" s="4">
        <v>45670.0</v>
      </c>
      <c r="E867" s="3">
        <v>43.0</v>
      </c>
      <c r="F867" s="5">
        <v>0.0</v>
      </c>
      <c r="G867" s="3">
        <v>602.0</v>
      </c>
      <c r="H867" s="3" t="str">
        <f>VLOOKUP(B867,'Currency Table'!$M$3:$N$6,2, FALSE)</f>
        <v>EUR</v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5.75" hidden="1" customHeight="1">
      <c r="A868" s="3" t="s">
        <v>326</v>
      </c>
      <c r="B868" s="3" t="s">
        <v>244</v>
      </c>
      <c r="C868" s="3" t="s">
        <v>251</v>
      </c>
      <c r="D868" s="4">
        <v>45670.0</v>
      </c>
      <c r="E868" s="3">
        <v>21.0</v>
      </c>
      <c r="F868" s="5">
        <v>3.0</v>
      </c>
      <c r="G868" s="3">
        <v>417.0</v>
      </c>
      <c r="H868" s="3" t="str">
        <f>VLOOKUP(B868,'Currency Table'!$M$3:$N$6,2, FALSE)</f>
        <v>EUR</v>
      </c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5.75" hidden="1" customHeight="1">
      <c r="A869" s="3" t="s">
        <v>310</v>
      </c>
      <c r="B869" s="3" t="s">
        <v>244</v>
      </c>
      <c r="C869" s="3" t="s">
        <v>245</v>
      </c>
      <c r="D869" s="4">
        <v>45670.0</v>
      </c>
      <c r="E869" s="3">
        <v>43.0</v>
      </c>
      <c r="F869" s="5">
        <v>3.0</v>
      </c>
      <c r="G869" s="3">
        <v>697.0</v>
      </c>
      <c r="H869" s="3" t="str">
        <f>VLOOKUP(B869,'Currency Table'!$M$3:$N$6,2, FALSE)</f>
        <v>EUR</v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5.75" hidden="1" customHeight="1">
      <c r="A870" s="3" t="s">
        <v>234</v>
      </c>
      <c r="B870" s="3" t="s">
        <v>244</v>
      </c>
      <c r="C870" s="3" t="s">
        <v>246</v>
      </c>
      <c r="D870" s="4">
        <v>45670.0</v>
      </c>
      <c r="E870" s="3">
        <v>31.0</v>
      </c>
      <c r="F870" s="5">
        <v>4.0</v>
      </c>
      <c r="G870" s="3">
        <v>546.0</v>
      </c>
      <c r="H870" s="3" t="str">
        <f>VLOOKUP(B870,'Currency Table'!$M$3:$N$6,2, FALSE)</f>
        <v>EUR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5.75" hidden="1" customHeight="1">
      <c r="A871" s="3" t="s">
        <v>292</v>
      </c>
      <c r="B871" s="3" t="s">
        <v>244</v>
      </c>
      <c r="C871" s="3" t="s">
        <v>256</v>
      </c>
      <c r="D871" s="4">
        <v>45670.0</v>
      </c>
      <c r="E871" s="3">
        <v>30.0</v>
      </c>
      <c r="F871" s="5">
        <v>4.0</v>
      </c>
      <c r="G871" s="3">
        <v>500.0</v>
      </c>
      <c r="H871" s="3" t="str">
        <f>VLOOKUP(B871,'Currency Table'!$M$3:$N$6,2, FALSE)</f>
        <v>EUR</v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5.75" hidden="1" customHeight="1">
      <c r="A872" s="3" t="s">
        <v>293</v>
      </c>
      <c r="B872" s="3" t="s">
        <v>244</v>
      </c>
      <c r="C872" s="3" t="s">
        <v>256</v>
      </c>
      <c r="D872" s="4">
        <v>45670.0</v>
      </c>
      <c r="E872" s="3">
        <v>65.0</v>
      </c>
      <c r="F872" s="5">
        <v>2.0</v>
      </c>
      <c r="G872" s="3">
        <v>957.0</v>
      </c>
      <c r="H872" s="3" t="str">
        <f>VLOOKUP(B872,'Currency Table'!$M$3:$N$6,2, FALSE)</f>
        <v>EUR</v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5.75" hidden="1" customHeight="1">
      <c r="A873" s="3" t="s">
        <v>290</v>
      </c>
      <c r="B873" s="3" t="s">
        <v>244</v>
      </c>
      <c r="C873" s="3" t="s">
        <v>248</v>
      </c>
      <c r="D873" s="4">
        <v>45670.0</v>
      </c>
      <c r="E873" s="3">
        <v>35.0</v>
      </c>
      <c r="F873" s="5">
        <v>3.0</v>
      </c>
      <c r="G873" s="3">
        <v>566.0</v>
      </c>
      <c r="H873" s="3" t="str">
        <f>VLOOKUP(B873,'Currency Table'!$M$3:$N$6,2, FALSE)</f>
        <v>EUR</v>
      </c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5.75" hidden="1" customHeight="1">
      <c r="A874" s="3" t="s">
        <v>243</v>
      </c>
      <c r="B874" s="3" t="s">
        <v>244</v>
      </c>
      <c r="C874" s="3" t="s">
        <v>246</v>
      </c>
      <c r="D874" s="4">
        <v>45670.0</v>
      </c>
      <c r="E874" s="3">
        <v>66.0</v>
      </c>
      <c r="F874" s="5">
        <v>3.0</v>
      </c>
      <c r="G874" s="3">
        <v>913.0</v>
      </c>
      <c r="H874" s="3" t="str">
        <f>VLOOKUP(B874,'Currency Table'!$M$3:$N$6,2, FALSE)</f>
        <v>EUR</v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5.75" hidden="1" customHeight="1">
      <c r="A875" s="3" t="s">
        <v>296</v>
      </c>
      <c r="B875" s="3" t="s">
        <v>244</v>
      </c>
      <c r="C875" s="3" t="s">
        <v>248</v>
      </c>
      <c r="D875" s="4">
        <v>45670.0</v>
      </c>
      <c r="E875" s="3">
        <v>20.0</v>
      </c>
      <c r="F875" s="5">
        <v>3.0</v>
      </c>
      <c r="G875" s="3">
        <v>452.0</v>
      </c>
      <c r="H875" s="3" t="str">
        <f>VLOOKUP(B875,'Currency Table'!$M$3:$N$6,2, FALSE)</f>
        <v>EUR</v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5.75" hidden="1" customHeight="1">
      <c r="A876" s="3" t="s">
        <v>312</v>
      </c>
      <c r="B876" s="3" t="s">
        <v>244</v>
      </c>
      <c r="C876" s="3" t="s">
        <v>245</v>
      </c>
      <c r="D876" s="4">
        <v>45670.0</v>
      </c>
      <c r="E876" s="3">
        <v>21.0</v>
      </c>
      <c r="F876" s="5">
        <v>5.0</v>
      </c>
      <c r="G876" s="3">
        <v>414.0</v>
      </c>
      <c r="H876" s="3" t="str">
        <f>VLOOKUP(B876,'Currency Table'!$M$3:$N$6,2, FALSE)</f>
        <v>EUR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5.75" hidden="1" customHeight="1">
      <c r="A877" s="3" t="s">
        <v>300</v>
      </c>
      <c r="B877" s="3" t="s">
        <v>244</v>
      </c>
      <c r="C877" s="3" t="s">
        <v>256</v>
      </c>
      <c r="D877" s="4">
        <v>45670.0</v>
      </c>
      <c r="E877" s="3">
        <v>22.0</v>
      </c>
      <c r="F877" s="5">
        <v>5.0</v>
      </c>
      <c r="G877" s="3">
        <v>280.0</v>
      </c>
      <c r="H877" s="3" t="str">
        <f>VLOOKUP(B877,'Currency Table'!$M$3:$N$6,2, FALSE)</f>
        <v>EUR</v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5.75" hidden="1" customHeight="1">
      <c r="A878" s="3" t="s">
        <v>289</v>
      </c>
      <c r="B878" s="3" t="s">
        <v>244</v>
      </c>
      <c r="C878" s="3" t="s">
        <v>246</v>
      </c>
      <c r="D878" s="4">
        <v>45670.0</v>
      </c>
      <c r="E878" s="3">
        <v>48.0</v>
      </c>
      <c r="F878" s="5">
        <v>0.0</v>
      </c>
      <c r="G878" s="3">
        <v>850.0</v>
      </c>
      <c r="H878" s="3" t="str">
        <f>VLOOKUP(B878,'Currency Table'!$M$3:$N$6,2, FALSE)</f>
        <v>EUR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5.75" hidden="1" customHeight="1">
      <c r="A879" s="3" t="s">
        <v>301</v>
      </c>
      <c r="B879" s="3" t="s">
        <v>244</v>
      </c>
      <c r="C879" s="3" t="s">
        <v>248</v>
      </c>
      <c r="D879" s="4">
        <v>45670.0</v>
      </c>
      <c r="E879" s="3">
        <v>63.0</v>
      </c>
      <c r="F879" s="5">
        <v>5.0</v>
      </c>
      <c r="G879" s="3">
        <v>931.0</v>
      </c>
      <c r="H879" s="3" t="str">
        <f>VLOOKUP(B879,'Currency Table'!$M$3:$N$6,2, FALSE)</f>
        <v>EUR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5.75" hidden="1" customHeight="1">
      <c r="A880" s="3" t="s">
        <v>313</v>
      </c>
      <c r="B880" s="3" t="s">
        <v>244</v>
      </c>
      <c r="C880" s="3" t="s">
        <v>256</v>
      </c>
      <c r="D880" s="4">
        <v>45670.0</v>
      </c>
      <c r="E880" s="3">
        <v>11.0</v>
      </c>
      <c r="F880" s="5">
        <v>3.0</v>
      </c>
      <c r="G880" s="3">
        <v>241.0</v>
      </c>
      <c r="H880" s="3" t="str">
        <f>VLOOKUP(B880,'Currency Table'!$M$3:$N$6,2, FALSE)</f>
        <v>EUR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5.75" hidden="1" customHeight="1">
      <c r="A881" s="3" t="s">
        <v>317</v>
      </c>
      <c r="B881" s="3" t="s">
        <v>244</v>
      </c>
      <c r="C881" s="3" t="s">
        <v>256</v>
      </c>
      <c r="D881" s="4">
        <v>45670.0</v>
      </c>
      <c r="E881" s="3">
        <v>59.0</v>
      </c>
      <c r="F881" s="5">
        <v>2.0</v>
      </c>
      <c r="G881" s="3">
        <v>869.0</v>
      </c>
      <c r="H881" s="3" t="str">
        <f>VLOOKUP(B881,'Currency Table'!$M$3:$N$6,2, FALSE)</f>
        <v>EUR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5.75" hidden="1" customHeight="1">
      <c r="A882" s="3" t="s">
        <v>316</v>
      </c>
      <c r="B882" s="3" t="s">
        <v>244</v>
      </c>
      <c r="C882" s="3" t="s">
        <v>245</v>
      </c>
      <c r="D882" s="4">
        <v>45670.0</v>
      </c>
      <c r="E882" s="3">
        <v>55.0</v>
      </c>
      <c r="F882" s="5">
        <v>0.0</v>
      </c>
      <c r="G882" s="3">
        <v>751.0</v>
      </c>
      <c r="H882" s="3" t="str">
        <f>VLOOKUP(B882,'Currency Table'!$M$3:$N$6,2, FALSE)</f>
        <v>EUR</v>
      </c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5.75" hidden="1" customHeight="1">
      <c r="A883" s="3" t="s">
        <v>304</v>
      </c>
      <c r="B883" s="3" t="s">
        <v>244</v>
      </c>
      <c r="C883" s="3" t="s">
        <v>248</v>
      </c>
      <c r="D883" s="4">
        <v>45670.0</v>
      </c>
      <c r="E883" s="3">
        <v>36.0</v>
      </c>
      <c r="F883" s="5">
        <v>5.0</v>
      </c>
      <c r="G883" s="3">
        <v>647.0</v>
      </c>
      <c r="H883" s="3" t="str">
        <f>VLOOKUP(B883,'Currency Table'!$M$3:$N$6,2, FALSE)</f>
        <v>EUR</v>
      </c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5.75" hidden="1" customHeight="1">
      <c r="A884" s="3" t="s">
        <v>232</v>
      </c>
      <c r="B884" s="3" t="s">
        <v>244</v>
      </c>
      <c r="C884" s="3" t="s">
        <v>246</v>
      </c>
      <c r="D884" s="4">
        <v>45670.0</v>
      </c>
      <c r="E884" s="3">
        <v>53.0</v>
      </c>
      <c r="F884" s="5">
        <v>0.0</v>
      </c>
      <c r="G884" s="3">
        <v>801.0</v>
      </c>
      <c r="H884" s="3" t="str">
        <f>VLOOKUP(B884,'Currency Table'!$M$3:$N$6,2, FALSE)</f>
        <v>EUR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5.75" hidden="1" customHeight="1">
      <c r="A885" s="3" t="s">
        <v>295</v>
      </c>
      <c r="B885" s="3" t="s">
        <v>244</v>
      </c>
      <c r="C885" s="3" t="s">
        <v>246</v>
      </c>
      <c r="D885" s="4">
        <v>45670.0</v>
      </c>
      <c r="E885" s="3">
        <v>11.0</v>
      </c>
      <c r="F885" s="5">
        <v>5.0</v>
      </c>
      <c r="G885" s="3">
        <v>171.0</v>
      </c>
      <c r="H885" s="3" t="str">
        <f>VLOOKUP(B885,'Currency Table'!$M$3:$N$6,2, FALSE)</f>
        <v>EUR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5.75" hidden="1" customHeight="1">
      <c r="A886" s="3" t="s">
        <v>242</v>
      </c>
      <c r="B886" s="3" t="s">
        <v>244</v>
      </c>
      <c r="C886" s="3" t="s">
        <v>246</v>
      </c>
      <c r="D886" s="4">
        <v>45670.0</v>
      </c>
      <c r="E886" s="3">
        <v>69.0</v>
      </c>
      <c r="F886" s="5">
        <v>4.0</v>
      </c>
      <c r="G886" s="3">
        <v>1015.0</v>
      </c>
      <c r="H886" s="3" t="str">
        <f>VLOOKUP(B886,'Currency Table'!$M$3:$N$6,2, FALSE)</f>
        <v>EUR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5.75" hidden="1" customHeight="1">
      <c r="A887" s="3" t="s">
        <v>306</v>
      </c>
      <c r="B887" s="3" t="s">
        <v>244</v>
      </c>
      <c r="C887" s="3" t="s">
        <v>246</v>
      </c>
      <c r="D887" s="4">
        <v>45670.0</v>
      </c>
      <c r="E887" s="3">
        <v>20.0</v>
      </c>
      <c r="F887" s="5">
        <v>3.0</v>
      </c>
      <c r="G887" s="3">
        <v>268.0</v>
      </c>
      <c r="H887" s="3" t="str">
        <f>VLOOKUP(B887,'Currency Table'!$M$3:$N$6,2, FALSE)</f>
        <v>EUR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5.75" hidden="1" customHeight="1">
      <c r="A888" s="3" t="s">
        <v>309</v>
      </c>
      <c r="B888" s="3" t="s">
        <v>244</v>
      </c>
      <c r="C888" s="3" t="s">
        <v>248</v>
      </c>
      <c r="D888" s="4">
        <v>45670.0</v>
      </c>
      <c r="E888" s="3">
        <v>17.0</v>
      </c>
      <c r="F888" s="5">
        <v>5.0</v>
      </c>
      <c r="G888" s="3">
        <v>354.0</v>
      </c>
      <c r="H888" s="3" t="str">
        <f>VLOOKUP(B888,'Currency Table'!$M$3:$N$6,2, FALSE)</f>
        <v>EUR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5.75" hidden="1" customHeight="1">
      <c r="A889" s="3" t="s">
        <v>308</v>
      </c>
      <c r="B889" s="3" t="s">
        <v>244</v>
      </c>
      <c r="C889" s="3" t="s">
        <v>246</v>
      </c>
      <c r="D889" s="4">
        <v>45670.0</v>
      </c>
      <c r="E889" s="3">
        <v>69.0</v>
      </c>
      <c r="F889" s="5">
        <v>3.0</v>
      </c>
      <c r="G889" s="3">
        <v>1044.0</v>
      </c>
      <c r="H889" s="3" t="str">
        <f>VLOOKUP(B889,'Currency Table'!$M$3:$N$6,2, FALSE)</f>
        <v>EUR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5.75" hidden="1" customHeight="1">
      <c r="A890" s="3" t="s">
        <v>320</v>
      </c>
      <c r="B890" s="3" t="s">
        <v>244</v>
      </c>
      <c r="C890" s="3" t="s">
        <v>245</v>
      </c>
      <c r="D890" s="4">
        <v>45670.0</v>
      </c>
      <c r="E890" s="3">
        <v>39.0</v>
      </c>
      <c r="F890" s="5">
        <v>5.0</v>
      </c>
      <c r="G890" s="3">
        <v>582.0</v>
      </c>
      <c r="H890" s="3" t="str">
        <f>VLOOKUP(B890,'Currency Table'!$M$3:$N$6,2, FALSE)</f>
        <v>EUR</v>
      </c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5.75" hidden="1" customHeight="1">
      <c r="A891" s="3" t="s">
        <v>319</v>
      </c>
      <c r="B891" s="3" t="s">
        <v>244</v>
      </c>
      <c r="C891" s="3" t="s">
        <v>246</v>
      </c>
      <c r="D891" s="4">
        <v>45670.0</v>
      </c>
      <c r="E891" s="3">
        <v>45.0</v>
      </c>
      <c r="F891" s="5">
        <v>2.0</v>
      </c>
      <c r="G891" s="3">
        <v>525.0</v>
      </c>
      <c r="H891" s="3" t="str">
        <f>VLOOKUP(B891,'Currency Table'!$M$3:$N$6,2, FALSE)</f>
        <v>EUR</v>
      </c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5.75" hidden="1" customHeight="1">
      <c r="A892" s="3" t="s">
        <v>321</v>
      </c>
      <c r="B892" s="3" t="s">
        <v>244</v>
      </c>
      <c r="C892" s="3" t="s">
        <v>246</v>
      </c>
      <c r="D892" s="4">
        <v>45670.0</v>
      </c>
      <c r="E892" s="3">
        <v>66.0</v>
      </c>
      <c r="F892" s="5">
        <v>3.0</v>
      </c>
      <c r="G892" s="3">
        <v>1003.0</v>
      </c>
      <c r="H892" s="3" t="str">
        <f>VLOOKUP(B892,'Currency Table'!$M$3:$N$6,2, FALSE)</f>
        <v>EUR</v>
      </c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5.75" hidden="1" customHeight="1">
      <c r="A893" s="3" t="s">
        <v>323</v>
      </c>
      <c r="B893" s="3" t="s">
        <v>244</v>
      </c>
      <c r="C893" s="3" t="s">
        <v>245</v>
      </c>
      <c r="D893" s="4">
        <v>45670.0</v>
      </c>
      <c r="E893" s="3">
        <v>63.0</v>
      </c>
      <c r="F893" s="5">
        <v>4.0</v>
      </c>
      <c r="G893" s="3">
        <v>936.0</v>
      </c>
      <c r="H893" s="3" t="str">
        <f>VLOOKUP(B893,'Currency Table'!$M$3:$N$6,2, FALSE)</f>
        <v>EUR</v>
      </c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5.75" hidden="1" customHeight="1">
      <c r="A894" s="3" t="s">
        <v>255</v>
      </c>
      <c r="B894" s="3" t="s">
        <v>244</v>
      </c>
      <c r="C894" s="3" t="s">
        <v>256</v>
      </c>
      <c r="D894" s="4">
        <v>45677.0</v>
      </c>
      <c r="E894" s="3">
        <v>70.0</v>
      </c>
      <c r="F894" s="5">
        <v>5.0</v>
      </c>
      <c r="G894" s="3">
        <v>968.0</v>
      </c>
      <c r="H894" s="3" t="str">
        <f>VLOOKUP(B894,'Currency Table'!$M$3:$N$6,2, FALSE)</f>
        <v>EUR</v>
      </c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5.75" hidden="1" customHeight="1">
      <c r="A895" s="3" t="s">
        <v>237</v>
      </c>
      <c r="B895" s="3" t="s">
        <v>244</v>
      </c>
      <c r="C895" s="3" t="s">
        <v>246</v>
      </c>
      <c r="D895" s="4">
        <v>45677.0</v>
      </c>
      <c r="E895" s="3">
        <v>26.0</v>
      </c>
      <c r="F895" s="5">
        <v>2.0</v>
      </c>
      <c r="G895" s="3">
        <v>270.0</v>
      </c>
      <c r="H895" s="3" t="str">
        <f>VLOOKUP(B895,'Currency Table'!$M$3:$N$6,2, FALSE)</f>
        <v>EUR</v>
      </c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5.75" hidden="1" customHeight="1">
      <c r="A896" s="3" t="s">
        <v>250</v>
      </c>
      <c r="B896" s="3" t="s">
        <v>244</v>
      </c>
      <c r="C896" s="3" t="s">
        <v>251</v>
      </c>
      <c r="D896" s="4">
        <v>45677.0</v>
      </c>
      <c r="E896" s="3">
        <v>38.0</v>
      </c>
      <c r="F896" s="5">
        <v>4.0</v>
      </c>
      <c r="G896" s="3">
        <v>529.0</v>
      </c>
      <c r="H896" s="3" t="str">
        <f>VLOOKUP(B896,'Currency Table'!$M$3:$N$6,2, FALSE)</f>
        <v>EUR</v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5.75" hidden="1" customHeight="1">
      <c r="A897" s="3" t="s">
        <v>253</v>
      </c>
      <c r="B897" s="3" t="s">
        <v>244</v>
      </c>
      <c r="C897" s="3" t="s">
        <v>251</v>
      </c>
      <c r="D897" s="4">
        <v>45677.0</v>
      </c>
      <c r="E897" s="3">
        <v>17.0</v>
      </c>
      <c r="F897" s="5">
        <v>3.0</v>
      </c>
      <c r="G897" s="3">
        <v>260.0</v>
      </c>
      <c r="H897" s="3" t="str">
        <f>VLOOKUP(B897,'Currency Table'!$M$3:$N$6,2, FALSE)</f>
        <v>EUR</v>
      </c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5.75" hidden="1" customHeight="1">
      <c r="A898" s="3" t="s">
        <v>240</v>
      </c>
      <c r="B898" s="3" t="s">
        <v>244</v>
      </c>
      <c r="C898" s="3" t="s">
        <v>246</v>
      </c>
      <c r="D898" s="4">
        <v>45677.0</v>
      </c>
      <c r="E898" s="3">
        <v>53.0</v>
      </c>
      <c r="F898" s="5">
        <v>3.0</v>
      </c>
      <c r="G898" s="3">
        <v>865.0</v>
      </c>
      <c r="H898" s="3" t="str">
        <f>VLOOKUP(B898,'Currency Table'!$M$3:$N$6,2, FALSE)</f>
        <v>EUR</v>
      </c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5.75" hidden="1" customHeight="1">
      <c r="A899" s="3" t="s">
        <v>258</v>
      </c>
      <c r="B899" s="3" t="s">
        <v>244</v>
      </c>
      <c r="C899" s="3" t="s">
        <v>256</v>
      </c>
      <c r="D899" s="4">
        <v>45677.0</v>
      </c>
      <c r="E899" s="3">
        <v>66.0</v>
      </c>
      <c r="F899" s="5">
        <v>4.0</v>
      </c>
      <c r="G899" s="3">
        <v>926.0</v>
      </c>
      <c r="H899" s="3" t="str">
        <f>VLOOKUP(B899,'Currency Table'!$M$3:$N$6,2, FALSE)</f>
        <v>EUR</v>
      </c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5.75" hidden="1" customHeight="1">
      <c r="A900" s="3" t="s">
        <v>264</v>
      </c>
      <c r="B900" s="3" t="s">
        <v>244</v>
      </c>
      <c r="C900" s="3" t="s">
        <v>251</v>
      </c>
      <c r="D900" s="4">
        <v>45677.0</v>
      </c>
      <c r="E900" s="3">
        <v>68.0</v>
      </c>
      <c r="F900" s="5">
        <v>4.0</v>
      </c>
      <c r="G900" s="3">
        <v>924.0</v>
      </c>
      <c r="H900" s="3" t="str">
        <f>VLOOKUP(B900,'Currency Table'!$M$3:$N$6,2, FALSE)</f>
        <v>EUR</v>
      </c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5.75" hidden="1" customHeight="1">
      <c r="A901" s="3" t="s">
        <v>269</v>
      </c>
      <c r="B901" s="3" t="s">
        <v>244</v>
      </c>
      <c r="C901" s="3" t="s">
        <v>251</v>
      </c>
      <c r="D901" s="4">
        <v>45677.0</v>
      </c>
      <c r="E901" s="3">
        <v>10.0</v>
      </c>
      <c r="F901" s="5">
        <v>0.0</v>
      </c>
      <c r="G901" s="3">
        <v>192.0</v>
      </c>
      <c r="H901" s="3" t="str">
        <f>VLOOKUP(B901,'Currency Table'!$M$3:$N$6,2, FALSE)</f>
        <v>EUR</v>
      </c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5.75" hidden="1" customHeight="1">
      <c r="A902" s="3" t="s">
        <v>254</v>
      </c>
      <c r="B902" s="3" t="s">
        <v>244</v>
      </c>
      <c r="C902" s="3" t="s">
        <v>245</v>
      </c>
      <c r="D902" s="4">
        <v>45677.0</v>
      </c>
      <c r="E902" s="3">
        <v>68.0</v>
      </c>
      <c r="F902" s="5">
        <v>2.0</v>
      </c>
      <c r="G902" s="3">
        <v>964.0</v>
      </c>
      <c r="H902" s="3" t="str">
        <f>VLOOKUP(B902,'Currency Table'!$M$3:$N$6,2, FALSE)</f>
        <v>EUR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5.75" hidden="1" customHeight="1">
      <c r="A903" s="3" t="s">
        <v>247</v>
      </c>
      <c r="B903" s="3" t="s">
        <v>244</v>
      </c>
      <c r="C903" s="3" t="s">
        <v>248</v>
      </c>
      <c r="D903" s="4">
        <v>45677.0</v>
      </c>
      <c r="E903" s="3">
        <v>59.0</v>
      </c>
      <c r="F903" s="5">
        <v>3.0</v>
      </c>
      <c r="G903" s="3">
        <v>757.0</v>
      </c>
      <c r="H903" s="3" t="str">
        <f>VLOOKUP(B903,'Currency Table'!$M$3:$N$6,2, FALSE)</f>
        <v>EUR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5.75" hidden="1" customHeight="1">
      <c r="A904" s="3" t="s">
        <v>271</v>
      </c>
      <c r="B904" s="3" t="s">
        <v>244</v>
      </c>
      <c r="C904" s="3" t="s">
        <v>251</v>
      </c>
      <c r="D904" s="4">
        <v>45677.0</v>
      </c>
      <c r="E904" s="3">
        <v>51.0</v>
      </c>
      <c r="F904" s="5">
        <v>3.0</v>
      </c>
      <c r="G904" s="3">
        <v>853.0</v>
      </c>
      <c r="H904" s="3" t="str">
        <f>VLOOKUP(B904,'Currency Table'!$M$3:$N$6,2, FALSE)</f>
        <v>EUR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5.75" hidden="1" customHeight="1">
      <c r="A905" s="3" t="s">
        <v>260</v>
      </c>
      <c r="B905" s="3" t="s">
        <v>244</v>
      </c>
      <c r="C905" s="3" t="s">
        <v>246</v>
      </c>
      <c r="D905" s="4">
        <v>45677.0</v>
      </c>
      <c r="E905" s="3">
        <v>23.0</v>
      </c>
      <c r="F905" s="5">
        <v>2.0</v>
      </c>
      <c r="G905" s="3">
        <v>273.0</v>
      </c>
      <c r="H905" s="3" t="str">
        <f>VLOOKUP(B905,'Currency Table'!$M$3:$N$6,2, FALSE)</f>
        <v>EUR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5.75" hidden="1" customHeight="1">
      <c r="A906" s="3" t="s">
        <v>211</v>
      </c>
      <c r="B906" s="3" t="s">
        <v>244</v>
      </c>
      <c r="C906" s="3" t="s">
        <v>248</v>
      </c>
      <c r="D906" s="4">
        <v>45677.0</v>
      </c>
      <c r="E906" s="3">
        <v>24.0</v>
      </c>
      <c r="F906" s="5">
        <v>3.0</v>
      </c>
      <c r="G906" s="3">
        <v>357.0</v>
      </c>
      <c r="H906" s="3" t="str">
        <f>VLOOKUP(B906,'Currency Table'!$M$3:$N$6,2, FALSE)</f>
        <v>EUR</v>
      </c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5.75" hidden="1" customHeight="1">
      <c r="A907" s="3" t="s">
        <v>273</v>
      </c>
      <c r="B907" s="3" t="s">
        <v>244</v>
      </c>
      <c r="C907" s="3" t="s">
        <v>251</v>
      </c>
      <c r="D907" s="4">
        <v>45677.0</v>
      </c>
      <c r="E907" s="3">
        <v>61.0</v>
      </c>
      <c r="F907" s="5">
        <v>3.0</v>
      </c>
      <c r="G907" s="3">
        <v>903.0</v>
      </c>
      <c r="H907" s="3" t="str">
        <f>VLOOKUP(B907,'Currency Table'!$M$3:$N$6,2, FALSE)</f>
        <v>EUR</v>
      </c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5.75" hidden="1" customHeight="1">
      <c r="A908" s="3" t="s">
        <v>261</v>
      </c>
      <c r="B908" s="3" t="s">
        <v>244</v>
      </c>
      <c r="C908" s="3" t="s">
        <v>256</v>
      </c>
      <c r="D908" s="4">
        <v>45677.0</v>
      </c>
      <c r="E908" s="3">
        <v>11.0</v>
      </c>
      <c r="F908" s="5">
        <v>4.0</v>
      </c>
      <c r="G908" s="3">
        <v>165.0</v>
      </c>
      <c r="H908" s="3" t="str">
        <f>VLOOKUP(B908,'Currency Table'!$M$3:$N$6,2, FALSE)</f>
        <v>EUR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5.75" hidden="1" customHeight="1">
      <c r="A909" s="3" t="s">
        <v>262</v>
      </c>
      <c r="B909" s="3" t="s">
        <v>244</v>
      </c>
      <c r="C909" s="3" t="s">
        <v>256</v>
      </c>
      <c r="D909" s="4">
        <v>45677.0</v>
      </c>
      <c r="E909" s="3">
        <v>43.0</v>
      </c>
      <c r="F909" s="5">
        <v>1.0</v>
      </c>
      <c r="G909" s="3">
        <v>690.0</v>
      </c>
      <c r="H909" s="3" t="str">
        <f>VLOOKUP(B909,'Currency Table'!$M$3:$N$6,2, FALSE)</f>
        <v>EUR</v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5.75" hidden="1" customHeight="1">
      <c r="A910" s="3" t="s">
        <v>265</v>
      </c>
      <c r="B910" s="3" t="s">
        <v>244</v>
      </c>
      <c r="C910" s="3" t="s">
        <v>256</v>
      </c>
      <c r="D910" s="4">
        <v>45677.0</v>
      </c>
      <c r="E910" s="3">
        <v>65.0</v>
      </c>
      <c r="F910" s="5">
        <v>1.0</v>
      </c>
      <c r="G910" s="3">
        <v>1000.0</v>
      </c>
      <c r="H910" s="3" t="str">
        <f>VLOOKUP(B910,'Currency Table'!$M$3:$N$6,2, FALSE)</f>
        <v>EUR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5.75" hidden="1" customHeight="1">
      <c r="A911" s="3" t="s">
        <v>267</v>
      </c>
      <c r="B911" s="3" t="s">
        <v>244</v>
      </c>
      <c r="C911" s="3" t="s">
        <v>256</v>
      </c>
      <c r="D911" s="4">
        <v>45677.0</v>
      </c>
      <c r="E911" s="3">
        <v>51.0</v>
      </c>
      <c r="F911" s="5">
        <v>1.0</v>
      </c>
      <c r="G911" s="3">
        <v>733.0</v>
      </c>
      <c r="H911" s="3" t="str">
        <f>VLOOKUP(B911,'Currency Table'!$M$3:$N$6,2, FALSE)</f>
        <v>EUR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5.75" hidden="1" customHeight="1">
      <c r="A912" s="3" t="s">
        <v>276</v>
      </c>
      <c r="B912" s="3" t="s">
        <v>244</v>
      </c>
      <c r="C912" s="3" t="s">
        <v>251</v>
      </c>
      <c r="D912" s="4">
        <v>45677.0</v>
      </c>
      <c r="E912" s="3">
        <v>70.0</v>
      </c>
      <c r="F912" s="5">
        <v>0.0</v>
      </c>
      <c r="G912" s="3">
        <v>990.0</v>
      </c>
      <c r="H912" s="3" t="str">
        <f>VLOOKUP(B912,'Currency Table'!$M$3:$N$6,2, FALSE)</f>
        <v>EUR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5.75" hidden="1" customHeight="1">
      <c r="A913" s="3" t="s">
        <v>266</v>
      </c>
      <c r="B913" s="3" t="s">
        <v>244</v>
      </c>
      <c r="C913" s="3" t="s">
        <v>246</v>
      </c>
      <c r="D913" s="4">
        <v>45677.0</v>
      </c>
      <c r="E913" s="3">
        <v>52.0</v>
      </c>
      <c r="F913" s="5">
        <v>0.0</v>
      </c>
      <c r="G913" s="3">
        <v>805.0</v>
      </c>
      <c r="H913" s="3" t="str">
        <f>VLOOKUP(B913,'Currency Table'!$M$3:$N$6,2, FALSE)</f>
        <v>EUR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5.75" hidden="1" customHeight="1">
      <c r="A914" s="3" t="s">
        <v>270</v>
      </c>
      <c r="B914" s="3" t="s">
        <v>244</v>
      </c>
      <c r="C914" s="3" t="s">
        <v>256</v>
      </c>
      <c r="D914" s="4">
        <v>45677.0</v>
      </c>
      <c r="E914" s="3">
        <v>46.0</v>
      </c>
      <c r="F914" s="5">
        <v>1.0</v>
      </c>
      <c r="G914" s="3">
        <v>719.0</v>
      </c>
      <c r="H914" s="3" t="str">
        <f>VLOOKUP(B914,'Currency Table'!$M$3:$N$6,2, FALSE)</f>
        <v>EUR</v>
      </c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5.75" hidden="1" customHeight="1">
      <c r="A915" s="3" t="s">
        <v>257</v>
      </c>
      <c r="B915" s="3" t="s">
        <v>244</v>
      </c>
      <c r="C915" s="3" t="s">
        <v>245</v>
      </c>
      <c r="D915" s="4">
        <v>45677.0</v>
      </c>
      <c r="E915" s="3">
        <v>13.0</v>
      </c>
      <c r="F915" s="5">
        <v>3.0</v>
      </c>
      <c r="G915" s="3">
        <v>210.0</v>
      </c>
      <c r="H915" s="3" t="str">
        <f>VLOOKUP(B915,'Currency Table'!$M$3:$N$6,2, FALSE)</f>
        <v>EUR</v>
      </c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5.75" hidden="1" customHeight="1">
      <c r="A916" s="3" t="s">
        <v>249</v>
      </c>
      <c r="B916" s="3" t="s">
        <v>244</v>
      </c>
      <c r="C916" s="3" t="s">
        <v>248</v>
      </c>
      <c r="D916" s="4">
        <v>45677.0</v>
      </c>
      <c r="E916" s="3">
        <v>51.0</v>
      </c>
      <c r="F916" s="5">
        <v>3.0</v>
      </c>
      <c r="G916" s="3">
        <v>803.0</v>
      </c>
      <c r="H916" s="3" t="str">
        <f>VLOOKUP(B916,'Currency Table'!$M$3:$N$6,2, FALSE)</f>
        <v>EUR</v>
      </c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5.75" hidden="1" customHeight="1">
      <c r="A917" s="3" t="s">
        <v>252</v>
      </c>
      <c r="B917" s="3" t="s">
        <v>244</v>
      </c>
      <c r="C917" s="3" t="s">
        <v>248</v>
      </c>
      <c r="D917" s="4">
        <v>45677.0</v>
      </c>
      <c r="E917" s="3">
        <v>50.0</v>
      </c>
      <c r="F917" s="5">
        <v>8.0</v>
      </c>
      <c r="G917" s="3">
        <v>817.0</v>
      </c>
      <c r="H917" s="3" t="str">
        <f>VLOOKUP(B917,'Currency Table'!$M$3:$N$6,2, FALSE)</f>
        <v>EUR</v>
      </c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5.75" hidden="1" customHeight="1">
      <c r="A918" s="3" t="s">
        <v>286</v>
      </c>
      <c r="B918" s="3" t="s">
        <v>244</v>
      </c>
      <c r="C918" s="3" t="s">
        <v>251</v>
      </c>
      <c r="D918" s="4">
        <v>45677.0</v>
      </c>
      <c r="E918" s="3">
        <v>55.0</v>
      </c>
      <c r="F918" s="5">
        <v>4.0</v>
      </c>
      <c r="G918" s="3">
        <v>808.0</v>
      </c>
      <c r="H918" s="3" t="str">
        <f>VLOOKUP(B918,'Currency Table'!$M$3:$N$6,2, FALSE)</f>
        <v>EUR</v>
      </c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5.75" hidden="1" customHeight="1">
      <c r="A919" s="3" t="s">
        <v>272</v>
      </c>
      <c r="B919" s="3" t="s">
        <v>244</v>
      </c>
      <c r="C919" s="3" t="s">
        <v>256</v>
      </c>
      <c r="D919" s="4">
        <v>45677.0</v>
      </c>
      <c r="E919" s="3">
        <v>51.0</v>
      </c>
      <c r="F919" s="5">
        <v>3.0</v>
      </c>
      <c r="G919" s="3">
        <v>769.0</v>
      </c>
      <c r="H919" s="3" t="str">
        <f>VLOOKUP(B919,'Currency Table'!$M$3:$N$6,2, FALSE)</f>
        <v>EUR</v>
      </c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5.75" hidden="1" customHeight="1">
      <c r="A920" s="3" t="s">
        <v>210</v>
      </c>
      <c r="B920" s="3" t="s">
        <v>244</v>
      </c>
      <c r="C920" s="3" t="s">
        <v>248</v>
      </c>
      <c r="D920" s="4">
        <v>45677.0</v>
      </c>
      <c r="E920" s="3">
        <v>36.0</v>
      </c>
      <c r="F920" s="5">
        <v>2.0</v>
      </c>
      <c r="G920" s="3">
        <v>517.0</v>
      </c>
      <c r="H920" s="3" t="str">
        <f>VLOOKUP(B920,'Currency Table'!$M$3:$N$6,2, FALSE)</f>
        <v>EUR</v>
      </c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5.75" hidden="1" customHeight="1">
      <c r="A921" s="3" t="s">
        <v>274</v>
      </c>
      <c r="B921" s="3" t="s">
        <v>244</v>
      </c>
      <c r="C921" s="3" t="s">
        <v>256</v>
      </c>
      <c r="D921" s="4">
        <v>45677.0</v>
      </c>
      <c r="E921" s="3">
        <v>43.0</v>
      </c>
      <c r="F921" s="5">
        <v>4.0</v>
      </c>
      <c r="G921" s="3">
        <v>622.0</v>
      </c>
      <c r="H921" s="3" t="str">
        <f>VLOOKUP(B921,'Currency Table'!$M$3:$N$6,2, FALSE)</f>
        <v>EUR</v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5.75" hidden="1" customHeight="1">
      <c r="A922" s="3" t="s">
        <v>275</v>
      </c>
      <c r="B922" s="3" t="s">
        <v>244</v>
      </c>
      <c r="C922" s="3" t="s">
        <v>256</v>
      </c>
      <c r="D922" s="4">
        <v>45677.0</v>
      </c>
      <c r="E922" s="3">
        <v>31.0</v>
      </c>
      <c r="F922" s="5">
        <v>3.0</v>
      </c>
      <c r="G922" s="3">
        <v>646.0</v>
      </c>
      <c r="H922" s="3" t="str">
        <f>VLOOKUP(B922,'Currency Table'!$M$3:$N$6,2, FALSE)</f>
        <v>EUR</v>
      </c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5.75" hidden="1" customHeight="1">
      <c r="A923" s="3" t="s">
        <v>279</v>
      </c>
      <c r="B923" s="3" t="s">
        <v>244</v>
      </c>
      <c r="C923" s="3" t="s">
        <v>256</v>
      </c>
      <c r="D923" s="4">
        <v>45677.0</v>
      </c>
      <c r="E923" s="3">
        <v>69.0</v>
      </c>
      <c r="F923" s="5">
        <v>5.0</v>
      </c>
      <c r="G923" s="3">
        <v>1024.0</v>
      </c>
      <c r="H923" s="3" t="str">
        <f>VLOOKUP(B923,'Currency Table'!$M$3:$N$6,2, FALSE)</f>
        <v>EUR</v>
      </c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5.75" hidden="1" customHeight="1">
      <c r="A924" s="3" t="s">
        <v>213</v>
      </c>
      <c r="B924" s="3" t="s">
        <v>244</v>
      </c>
      <c r="C924" s="3" t="s">
        <v>256</v>
      </c>
      <c r="D924" s="4">
        <v>45677.0</v>
      </c>
      <c r="E924" s="3">
        <v>15.0</v>
      </c>
      <c r="F924" s="5">
        <v>0.0</v>
      </c>
      <c r="G924" s="3">
        <v>192.0</v>
      </c>
      <c r="H924" s="3" t="str">
        <f>VLOOKUP(B924,'Currency Table'!$M$3:$N$6,2, FALSE)</f>
        <v>EUR</v>
      </c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5.75" hidden="1" customHeight="1">
      <c r="A925" s="3" t="s">
        <v>283</v>
      </c>
      <c r="B925" s="3" t="s">
        <v>244</v>
      </c>
      <c r="C925" s="3" t="s">
        <v>256</v>
      </c>
      <c r="D925" s="4">
        <v>45677.0</v>
      </c>
      <c r="E925" s="3">
        <v>66.0</v>
      </c>
      <c r="F925" s="5">
        <v>5.0</v>
      </c>
      <c r="G925" s="3">
        <v>992.0</v>
      </c>
      <c r="H925" s="3" t="str">
        <f>VLOOKUP(B925,'Currency Table'!$M$3:$N$6,2, FALSE)</f>
        <v>EUR</v>
      </c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5.75" hidden="1" customHeight="1">
      <c r="A926" s="3" t="s">
        <v>285</v>
      </c>
      <c r="B926" s="3" t="s">
        <v>244</v>
      </c>
      <c r="C926" s="3" t="s">
        <v>256</v>
      </c>
      <c r="D926" s="4">
        <v>45677.0</v>
      </c>
      <c r="E926" s="3">
        <v>63.0</v>
      </c>
      <c r="F926" s="5">
        <v>4.0</v>
      </c>
      <c r="G926" s="3">
        <v>1050.0</v>
      </c>
      <c r="H926" s="3" t="str">
        <f>VLOOKUP(B926,'Currency Table'!$M$3:$N$6,2, FALSE)</f>
        <v>EUR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5.75" hidden="1" customHeight="1">
      <c r="A927" s="3" t="s">
        <v>157</v>
      </c>
      <c r="B927" s="3" t="s">
        <v>244</v>
      </c>
      <c r="C927" s="3" t="s">
        <v>245</v>
      </c>
      <c r="D927" s="4">
        <v>45677.0</v>
      </c>
      <c r="E927" s="3">
        <v>63.0</v>
      </c>
      <c r="F927" s="5">
        <v>5.0</v>
      </c>
      <c r="G927" s="3">
        <v>916.0</v>
      </c>
      <c r="H927" s="3" t="str">
        <f>VLOOKUP(B927,'Currency Table'!$M$3:$N$6,2, FALSE)</f>
        <v>EUR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5.75" hidden="1" customHeight="1">
      <c r="A928" s="3" t="s">
        <v>287</v>
      </c>
      <c r="B928" s="3" t="s">
        <v>244</v>
      </c>
      <c r="C928" s="3" t="s">
        <v>256</v>
      </c>
      <c r="D928" s="4">
        <v>45677.0</v>
      </c>
      <c r="E928" s="3">
        <v>51.0</v>
      </c>
      <c r="F928" s="5">
        <v>2.0</v>
      </c>
      <c r="G928" s="3">
        <v>760.0</v>
      </c>
      <c r="H928" s="3" t="str">
        <f>VLOOKUP(B928,'Currency Table'!$M$3:$N$6,2, FALSE)</f>
        <v>EUR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15.75" hidden="1" customHeight="1">
      <c r="A929" s="3" t="s">
        <v>238</v>
      </c>
      <c r="B929" s="3" t="s">
        <v>244</v>
      </c>
      <c r="C929" s="3" t="s">
        <v>246</v>
      </c>
      <c r="D929" s="4">
        <v>45677.0</v>
      </c>
      <c r="E929" s="3">
        <v>53.0</v>
      </c>
      <c r="F929" s="5">
        <v>3.0</v>
      </c>
      <c r="G929" s="3">
        <v>838.0</v>
      </c>
      <c r="H929" s="3" t="str">
        <f>VLOOKUP(B929,'Currency Table'!$M$3:$N$6,2, FALSE)</f>
        <v>EUR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15.75" hidden="1" customHeight="1">
      <c r="A930" s="3" t="s">
        <v>280</v>
      </c>
      <c r="B930" s="3" t="s">
        <v>244</v>
      </c>
      <c r="C930" s="3" t="s">
        <v>245</v>
      </c>
      <c r="D930" s="4">
        <v>45677.0</v>
      </c>
      <c r="E930" s="3">
        <v>35.0</v>
      </c>
      <c r="F930" s="5">
        <v>3.0</v>
      </c>
      <c r="G930" s="3">
        <v>590.0</v>
      </c>
      <c r="H930" s="3" t="str">
        <f>VLOOKUP(B930,'Currency Table'!$M$3:$N$6,2, FALSE)</f>
        <v>EUR</v>
      </c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15.75" hidden="1" customHeight="1">
      <c r="A931" s="3" t="s">
        <v>288</v>
      </c>
      <c r="B931" s="3" t="s">
        <v>244</v>
      </c>
      <c r="C931" s="3" t="s">
        <v>256</v>
      </c>
      <c r="D931" s="4">
        <v>45677.0</v>
      </c>
      <c r="E931" s="3">
        <v>67.0</v>
      </c>
      <c r="F931" s="5">
        <v>2.0</v>
      </c>
      <c r="G931" s="3">
        <v>928.0</v>
      </c>
      <c r="H931" s="3" t="str">
        <f>VLOOKUP(B931,'Currency Table'!$M$3:$N$6,2, FALSE)</f>
        <v>EUR</v>
      </c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15.75" hidden="1" customHeight="1">
      <c r="A932" s="3" t="s">
        <v>239</v>
      </c>
      <c r="B932" s="3" t="s">
        <v>244</v>
      </c>
      <c r="C932" s="3" t="s">
        <v>246</v>
      </c>
      <c r="D932" s="4">
        <v>45677.0</v>
      </c>
      <c r="E932" s="3">
        <v>16.0</v>
      </c>
      <c r="F932" s="5">
        <v>0.0</v>
      </c>
      <c r="G932" s="3">
        <v>354.0</v>
      </c>
      <c r="H932" s="3" t="str">
        <f>VLOOKUP(B932,'Currency Table'!$M$3:$N$6,2, FALSE)</f>
        <v>EUR</v>
      </c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15.75" hidden="1" customHeight="1">
      <c r="A933" s="3" t="s">
        <v>277</v>
      </c>
      <c r="B933" s="3" t="s">
        <v>244</v>
      </c>
      <c r="C933" s="3" t="s">
        <v>246</v>
      </c>
      <c r="D933" s="4">
        <v>45677.0</v>
      </c>
      <c r="E933" s="3">
        <v>45.0</v>
      </c>
      <c r="F933" s="5">
        <v>2.0</v>
      </c>
      <c r="G933" s="3">
        <v>698.0</v>
      </c>
      <c r="H933" s="3" t="str">
        <f>VLOOKUP(B933,'Currency Table'!$M$3:$N$6,2, FALSE)</f>
        <v>EUR</v>
      </c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15.75" hidden="1" customHeight="1">
      <c r="A934" s="3" t="s">
        <v>291</v>
      </c>
      <c r="B934" s="3" t="s">
        <v>244</v>
      </c>
      <c r="C934" s="3" t="s">
        <v>251</v>
      </c>
      <c r="D934" s="4">
        <v>45677.0</v>
      </c>
      <c r="E934" s="3">
        <v>24.0</v>
      </c>
      <c r="F934" s="5">
        <v>4.0</v>
      </c>
      <c r="G934" s="3">
        <v>488.0</v>
      </c>
      <c r="H934" s="3" t="str">
        <f>VLOOKUP(B934,'Currency Table'!$M$3:$N$6,2, FALSE)</f>
        <v>EUR</v>
      </c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15.75" hidden="1" customHeight="1">
      <c r="A935" s="3" t="s">
        <v>292</v>
      </c>
      <c r="B935" s="3" t="s">
        <v>244</v>
      </c>
      <c r="C935" s="3" t="s">
        <v>256</v>
      </c>
      <c r="D935" s="4">
        <v>45677.0</v>
      </c>
      <c r="E935" s="3">
        <v>13.0</v>
      </c>
      <c r="F935" s="5">
        <v>0.0</v>
      </c>
      <c r="G935" s="3">
        <v>168.0</v>
      </c>
      <c r="H935" s="3" t="str">
        <f>VLOOKUP(B935,'Currency Table'!$M$3:$N$6,2, FALSE)</f>
        <v>EUR</v>
      </c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15.75" hidden="1" customHeight="1">
      <c r="A936" s="3" t="s">
        <v>278</v>
      </c>
      <c r="B936" s="3" t="s">
        <v>244</v>
      </c>
      <c r="C936" s="3" t="s">
        <v>246</v>
      </c>
      <c r="D936" s="4">
        <v>45677.0</v>
      </c>
      <c r="E936" s="3">
        <v>60.0</v>
      </c>
      <c r="F936" s="5">
        <v>0.0</v>
      </c>
      <c r="G936" s="3">
        <v>846.0</v>
      </c>
      <c r="H936" s="3" t="str">
        <f>VLOOKUP(B936,'Currency Table'!$M$3:$N$6,2, FALSE)</f>
        <v>EUR</v>
      </c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15.75" hidden="1" customHeight="1">
      <c r="A937" s="3" t="s">
        <v>282</v>
      </c>
      <c r="B937" s="3" t="s">
        <v>244</v>
      </c>
      <c r="C937" s="3" t="s">
        <v>245</v>
      </c>
      <c r="D937" s="4">
        <v>45677.0</v>
      </c>
      <c r="E937" s="3">
        <v>34.0</v>
      </c>
      <c r="F937" s="5">
        <v>5.0</v>
      </c>
      <c r="G937" s="3">
        <v>573.0</v>
      </c>
      <c r="H937" s="3" t="str">
        <f>VLOOKUP(B937,'Currency Table'!$M$3:$N$6,2, FALSE)</f>
        <v>EUR</v>
      </c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15.75" hidden="1" customHeight="1">
      <c r="A938" s="3" t="s">
        <v>294</v>
      </c>
      <c r="B938" s="3" t="s">
        <v>244</v>
      </c>
      <c r="C938" s="3" t="s">
        <v>251</v>
      </c>
      <c r="D938" s="4">
        <v>45677.0</v>
      </c>
      <c r="E938" s="3">
        <v>54.0</v>
      </c>
      <c r="F938" s="5">
        <v>1.0</v>
      </c>
      <c r="G938" s="3">
        <v>871.0</v>
      </c>
      <c r="H938" s="3" t="str">
        <f>VLOOKUP(B938,'Currency Table'!$M$3:$N$6,2, FALSE)</f>
        <v>EUR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15.75" hidden="1" customHeight="1">
      <c r="A939" s="3" t="s">
        <v>297</v>
      </c>
      <c r="B939" s="3" t="s">
        <v>244</v>
      </c>
      <c r="C939" s="3" t="s">
        <v>251</v>
      </c>
      <c r="D939" s="4">
        <v>45677.0</v>
      </c>
      <c r="E939" s="3">
        <v>43.0</v>
      </c>
      <c r="F939" s="5">
        <v>2.0</v>
      </c>
      <c r="G939" s="3">
        <v>656.0</v>
      </c>
      <c r="H939" s="3" t="str">
        <f>VLOOKUP(B939,'Currency Table'!$M$3:$N$6,2, FALSE)</f>
        <v>EUR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15.75" hidden="1" customHeight="1">
      <c r="A940" s="3" t="s">
        <v>303</v>
      </c>
      <c r="B940" s="3" t="s">
        <v>244</v>
      </c>
      <c r="C940" s="3" t="s">
        <v>251</v>
      </c>
      <c r="D940" s="4">
        <v>45677.0</v>
      </c>
      <c r="E940" s="3">
        <v>39.0</v>
      </c>
      <c r="F940" s="5">
        <v>4.0</v>
      </c>
      <c r="G940" s="3">
        <v>556.0</v>
      </c>
      <c r="H940" s="3" t="str">
        <f>VLOOKUP(B940,'Currency Table'!$M$3:$N$6,2, FALSE)</f>
        <v>EUR</v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15.75" hidden="1" customHeight="1">
      <c r="A941" s="3" t="s">
        <v>259</v>
      </c>
      <c r="B941" s="3" t="s">
        <v>244</v>
      </c>
      <c r="C941" s="3" t="s">
        <v>248</v>
      </c>
      <c r="D941" s="4">
        <v>45677.0</v>
      </c>
      <c r="E941" s="3">
        <v>52.0</v>
      </c>
      <c r="F941" s="5">
        <v>2.0</v>
      </c>
      <c r="G941" s="3">
        <v>707.0</v>
      </c>
      <c r="H941" s="3" t="str">
        <f>VLOOKUP(B941,'Currency Table'!$M$3:$N$6,2, FALSE)</f>
        <v>EUR</v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5.75" hidden="1" customHeight="1">
      <c r="A942" s="3" t="s">
        <v>217</v>
      </c>
      <c r="B942" s="3" t="s">
        <v>244</v>
      </c>
      <c r="C942" s="3" t="s">
        <v>245</v>
      </c>
      <c r="D942" s="4">
        <v>45677.0</v>
      </c>
      <c r="E942" s="3">
        <v>43.0</v>
      </c>
      <c r="F942" s="5">
        <v>7.0</v>
      </c>
      <c r="G942" s="3">
        <v>660.0</v>
      </c>
      <c r="H942" s="3" t="str">
        <f>VLOOKUP(B942,'Currency Table'!$M$3:$N$6,2, FALSE)</f>
        <v>EUR</v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15.75" hidden="1" customHeight="1">
      <c r="A943" s="3" t="s">
        <v>241</v>
      </c>
      <c r="B943" s="3" t="s">
        <v>244</v>
      </c>
      <c r="C943" s="3" t="s">
        <v>246</v>
      </c>
      <c r="D943" s="4">
        <v>45677.0</v>
      </c>
      <c r="E943" s="3">
        <v>19.0</v>
      </c>
      <c r="F943" s="5">
        <v>0.0</v>
      </c>
      <c r="G943" s="3">
        <v>337.0</v>
      </c>
      <c r="H943" s="3" t="str">
        <f>VLOOKUP(B943,'Currency Table'!$M$3:$N$6,2, FALSE)</f>
        <v>EUR</v>
      </c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15.75" hidden="1" customHeight="1">
      <c r="A944" s="3" t="s">
        <v>263</v>
      </c>
      <c r="B944" s="3" t="s">
        <v>244</v>
      </c>
      <c r="C944" s="3" t="s">
        <v>248</v>
      </c>
      <c r="D944" s="4">
        <v>45677.0</v>
      </c>
      <c r="E944" s="3">
        <v>29.0</v>
      </c>
      <c r="F944" s="5">
        <v>0.0</v>
      </c>
      <c r="G944" s="3">
        <v>445.0</v>
      </c>
      <c r="H944" s="3" t="str">
        <f>VLOOKUP(B944,'Currency Table'!$M$3:$N$6,2, FALSE)</f>
        <v>EUR</v>
      </c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15.75" hidden="1" customHeight="1">
      <c r="A945" s="3" t="s">
        <v>298</v>
      </c>
      <c r="B945" s="3" t="s">
        <v>244</v>
      </c>
      <c r="C945" s="3" t="s">
        <v>245</v>
      </c>
      <c r="D945" s="4">
        <v>45677.0</v>
      </c>
      <c r="E945" s="3">
        <v>46.0</v>
      </c>
      <c r="F945" s="5">
        <v>4.0</v>
      </c>
      <c r="G945" s="3">
        <v>886.0</v>
      </c>
      <c r="H945" s="3" t="str">
        <f>VLOOKUP(B945,'Currency Table'!$M$3:$N$6,2, FALSE)</f>
        <v>EUR</v>
      </c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5.75" hidden="1" customHeight="1">
      <c r="A946" s="3" t="s">
        <v>293</v>
      </c>
      <c r="B946" s="3" t="s">
        <v>244</v>
      </c>
      <c r="C946" s="3" t="s">
        <v>256</v>
      </c>
      <c r="D946" s="4">
        <v>45677.0</v>
      </c>
      <c r="E946" s="3">
        <v>31.0</v>
      </c>
      <c r="F946" s="5">
        <v>0.0</v>
      </c>
      <c r="G946" s="3">
        <v>627.0</v>
      </c>
      <c r="H946" s="3" t="str">
        <f>VLOOKUP(B946,'Currency Table'!$M$3:$N$6,2, FALSE)</f>
        <v>EUR</v>
      </c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15.75" hidden="1" customHeight="1">
      <c r="A947" s="3" t="s">
        <v>215</v>
      </c>
      <c r="B947" s="3" t="s">
        <v>244</v>
      </c>
      <c r="C947" s="3" t="s">
        <v>256</v>
      </c>
      <c r="D947" s="4">
        <v>45677.0</v>
      </c>
      <c r="E947" s="3">
        <v>47.0</v>
      </c>
      <c r="F947" s="5">
        <v>2.0</v>
      </c>
      <c r="G947" s="3">
        <v>827.0</v>
      </c>
      <c r="H947" s="3" t="str">
        <f>VLOOKUP(B947,'Currency Table'!$M$3:$N$6,2, FALSE)</f>
        <v>EUR</v>
      </c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15.75" hidden="1" customHeight="1">
      <c r="A948" s="3" t="s">
        <v>209</v>
      </c>
      <c r="B948" s="3" t="s">
        <v>244</v>
      </c>
      <c r="C948" s="3" t="s">
        <v>248</v>
      </c>
      <c r="D948" s="4">
        <v>45677.0</v>
      </c>
      <c r="E948" s="3">
        <v>58.0</v>
      </c>
      <c r="F948" s="5">
        <v>2.0</v>
      </c>
      <c r="G948" s="3">
        <v>714.0</v>
      </c>
      <c r="H948" s="3" t="str">
        <f>VLOOKUP(B948,'Currency Table'!$M$3:$N$6,2, FALSE)</f>
        <v>EUR</v>
      </c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15.75" hidden="1" customHeight="1">
      <c r="A949" s="3" t="s">
        <v>268</v>
      </c>
      <c r="B949" s="3" t="s">
        <v>244</v>
      </c>
      <c r="C949" s="3" t="s">
        <v>248</v>
      </c>
      <c r="D949" s="4">
        <v>45677.0</v>
      </c>
      <c r="E949" s="3">
        <v>53.0</v>
      </c>
      <c r="F949" s="5">
        <v>2.0</v>
      </c>
      <c r="G949" s="3">
        <v>760.0</v>
      </c>
      <c r="H949" s="3" t="str">
        <f>VLOOKUP(B949,'Currency Table'!$M$3:$N$6,2, FALSE)</f>
        <v>EUR</v>
      </c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15.75" hidden="1" customHeight="1">
      <c r="A950" s="3" t="s">
        <v>281</v>
      </c>
      <c r="B950" s="3" t="s">
        <v>244</v>
      </c>
      <c r="C950" s="3" t="s">
        <v>248</v>
      </c>
      <c r="D950" s="4">
        <v>45677.0</v>
      </c>
      <c r="E950" s="3">
        <v>41.0</v>
      </c>
      <c r="F950" s="5">
        <v>5.0</v>
      </c>
      <c r="G950" s="3">
        <v>626.0</v>
      </c>
      <c r="H950" s="3" t="str">
        <f>VLOOKUP(B950,'Currency Table'!$M$3:$N$6,2, FALSE)</f>
        <v>EUR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15.75" hidden="1" customHeight="1">
      <c r="A951" s="3" t="s">
        <v>299</v>
      </c>
      <c r="B951" s="3" t="s">
        <v>244</v>
      </c>
      <c r="C951" s="3" t="s">
        <v>245</v>
      </c>
      <c r="D951" s="4">
        <v>45677.0</v>
      </c>
      <c r="E951" s="3">
        <v>49.0</v>
      </c>
      <c r="F951" s="5">
        <v>1.0</v>
      </c>
      <c r="G951" s="3">
        <v>785.0</v>
      </c>
      <c r="H951" s="3" t="str">
        <f>VLOOKUP(B951,'Currency Table'!$M$3:$N$6,2, FALSE)</f>
        <v>EUR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15.75" hidden="1" customHeight="1">
      <c r="A952" s="3" t="s">
        <v>214</v>
      </c>
      <c r="B952" s="3" t="s">
        <v>244</v>
      </c>
      <c r="C952" s="3" t="s">
        <v>248</v>
      </c>
      <c r="D952" s="4">
        <v>45677.0</v>
      </c>
      <c r="E952" s="3">
        <v>59.0</v>
      </c>
      <c r="F952" s="5">
        <v>4.0</v>
      </c>
      <c r="G952" s="3">
        <v>701.0</v>
      </c>
      <c r="H952" s="3" t="str">
        <f>VLOOKUP(B952,'Currency Table'!$M$3:$N$6,2, FALSE)</f>
        <v>EUR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15.75" hidden="1" customHeight="1">
      <c r="A953" s="3" t="s">
        <v>212</v>
      </c>
      <c r="B953" s="3" t="s">
        <v>244</v>
      </c>
      <c r="C953" s="3" t="s">
        <v>248</v>
      </c>
      <c r="D953" s="4">
        <v>45677.0</v>
      </c>
      <c r="E953" s="3">
        <v>22.0</v>
      </c>
      <c r="F953" s="5">
        <v>4.0</v>
      </c>
      <c r="G953" s="3">
        <v>445.0</v>
      </c>
      <c r="H953" s="3" t="str">
        <f>VLOOKUP(B953,'Currency Table'!$M$3:$N$6,2, FALSE)</f>
        <v>EUR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15.75" hidden="1" customHeight="1">
      <c r="A954" s="3" t="s">
        <v>307</v>
      </c>
      <c r="B954" s="3" t="s">
        <v>244</v>
      </c>
      <c r="C954" s="3" t="s">
        <v>251</v>
      </c>
      <c r="D954" s="4">
        <v>45677.0</v>
      </c>
      <c r="E954" s="3">
        <v>22.0</v>
      </c>
      <c r="F954" s="5">
        <v>0.0</v>
      </c>
      <c r="G954" s="3">
        <v>471.0</v>
      </c>
      <c r="H954" s="3" t="str">
        <f>VLOOKUP(B954,'Currency Table'!$M$3:$N$6,2, FALSE)</f>
        <v>EUR</v>
      </c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15.75" hidden="1" customHeight="1">
      <c r="A955" s="3" t="s">
        <v>284</v>
      </c>
      <c r="B955" s="3" t="s">
        <v>244</v>
      </c>
      <c r="C955" s="3" t="s">
        <v>248</v>
      </c>
      <c r="D955" s="4">
        <v>45677.0</v>
      </c>
      <c r="E955" s="3">
        <v>40.0</v>
      </c>
      <c r="F955" s="5">
        <v>2.0</v>
      </c>
      <c r="G955" s="3">
        <v>539.0</v>
      </c>
      <c r="H955" s="3" t="str">
        <f>VLOOKUP(B955,'Currency Table'!$M$3:$N$6,2, FALSE)</f>
        <v>EUR</v>
      </c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15.75" hidden="1" customHeight="1">
      <c r="A956" s="3" t="s">
        <v>314</v>
      </c>
      <c r="B956" s="3" t="s">
        <v>244</v>
      </c>
      <c r="C956" s="3" t="s">
        <v>251</v>
      </c>
      <c r="D956" s="4">
        <v>45677.0</v>
      </c>
      <c r="E956" s="3">
        <v>42.0</v>
      </c>
      <c r="F956" s="5">
        <v>1.0</v>
      </c>
      <c r="G956" s="3">
        <v>641.0</v>
      </c>
      <c r="H956" s="3" t="str">
        <f>VLOOKUP(B956,'Currency Table'!$M$3:$N$6,2, FALSE)</f>
        <v>EUR</v>
      </c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15.75" hidden="1" customHeight="1">
      <c r="A957" s="3" t="s">
        <v>315</v>
      </c>
      <c r="B957" s="3" t="s">
        <v>244</v>
      </c>
      <c r="C957" s="3" t="s">
        <v>251</v>
      </c>
      <c r="D957" s="4">
        <v>45677.0</v>
      </c>
      <c r="E957" s="3">
        <v>40.0</v>
      </c>
      <c r="F957" s="5">
        <v>1.0</v>
      </c>
      <c r="G957" s="3">
        <v>585.0</v>
      </c>
      <c r="H957" s="3" t="str">
        <f>VLOOKUP(B957,'Currency Table'!$M$3:$N$6,2, FALSE)</f>
        <v>EUR</v>
      </c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15.75" hidden="1" customHeight="1">
      <c r="A958" s="3" t="s">
        <v>218</v>
      </c>
      <c r="B958" s="3" t="s">
        <v>244</v>
      </c>
      <c r="C958" s="3" t="s">
        <v>248</v>
      </c>
      <c r="D958" s="4">
        <v>45677.0</v>
      </c>
      <c r="E958" s="3">
        <v>69.0</v>
      </c>
      <c r="F958" s="5">
        <v>1.0</v>
      </c>
      <c r="G958" s="3">
        <v>1000.0</v>
      </c>
      <c r="H958" s="3" t="str">
        <f>VLOOKUP(B958,'Currency Table'!$M$3:$N$6,2, FALSE)</f>
        <v>EUR</v>
      </c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15.75" hidden="1" customHeight="1">
      <c r="A959" s="3" t="s">
        <v>300</v>
      </c>
      <c r="B959" s="3" t="s">
        <v>244</v>
      </c>
      <c r="C959" s="3" t="s">
        <v>256</v>
      </c>
      <c r="D959" s="4">
        <v>45677.0</v>
      </c>
      <c r="E959" s="3">
        <v>34.0</v>
      </c>
      <c r="F959" s="5">
        <v>1.0</v>
      </c>
      <c r="G959" s="3">
        <v>598.0</v>
      </c>
      <c r="H959" s="3" t="str">
        <f>VLOOKUP(B959,'Currency Table'!$M$3:$N$6,2, FALSE)</f>
        <v>EUR</v>
      </c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15.75" hidden="1" customHeight="1">
      <c r="A960" s="3" t="s">
        <v>324</v>
      </c>
      <c r="B960" s="3" t="s">
        <v>244</v>
      </c>
      <c r="C960" s="3" t="s">
        <v>251</v>
      </c>
      <c r="D960" s="4">
        <v>45677.0</v>
      </c>
      <c r="E960" s="3">
        <v>47.0</v>
      </c>
      <c r="F960" s="5">
        <v>2.0</v>
      </c>
      <c r="G960" s="3">
        <v>811.0</v>
      </c>
      <c r="H960" s="3" t="str">
        <f>VLOOKUP(B960,'Currency Table'!$M$3:$N$6,2, FALSE)</f>
        <v>EUR</v>
      </c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15.75" hidden="1" customHeight="1">
      <c r="A961" s="3" t="s">
        <v>325</v>
      </c>
      <c r="B961" s="3" t="s">
        <v>244</v>
      </c>
      <c r="C961" s="3" t="s">
        <v>251</v>
      </c>
      <c r="D961" s="4">
        <v>45677.0</v>
      </c>
      <c r="E961" s="3">
        <v>31.0</v>
      </c>
      <c r="F961" s="5">
        <v>3.0</v>
      </c>
      <c r="G961" s="3">
        <v>577.0</v>
      </c>
      <c r="H961" s="3" t="str">
        <f>VLOOKUP(B961,'Currency Table'!$M$3:$N$6,2, FALSE)</f>
        <v>EUR</v>
      </c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15.75" hidden="1" customHeight="1">
      <c r="A962" s="3" t="s">
        <v>302</v>
      </c>
      <c r="B962" s="3" t="s">
        <v>244</v>
      </c>
      <c r="C962" s="3" t="s">
        <v>245</v>
      </c>
      <c r="D962" s="4">
        <v>45677.0</v>
      </c>
      <c r="E962" s="3">
        <v>36.0</v>
      </c>
      <c r="F962" s="5">
        <v>4.0</v>
      </c>
      <c r="G962" s="3">
        <v>607.0</v>
      </c>
      <c r="H962" s="3" t="str">
        <f>VLOOKUP(B962,'Currency Table'!$M$3:$N$6,2, FALSE)</f>
        <v>EUR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15.75" hidden="1" customHeight="1">
      <c r="A963" s="3" t="s">
        <v>305</v>
      </c>
      <c r="B963" s="3" t="s">
        <v>244</v>
      </c>
      <c r="C963" s="3" t="s">
        <v>245</v>
      </c>
      <c r="D963" s="4">
        <v>45677.0</v>
      </c>
      <c r="E963" s="3">
        <v>47.0</v>
      </c>
      <c r="F963" s="5">
        <v>5.0</v>
      </c>
      <c r="G963" s="3">
        <v>791.0</v>
      </c>
      <c r="H963" s="3" t="str">
        <f>VLOOKUP(B963,'Currency Table'!$M$3:$N$6,2, FALSE)</f>
        <v>EUR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15.75" hidden="1" customHeight="1">
      <c r="A964" s="3" t="s">
        <v>290</v>
      </c>
      <c r="B964" s="3" t="s">
        <v>244</v>
      </c>
      <c r="C964" s="3" t="s">
        <v>248</v>
      </c>
      <c r="D964" s="4">
        <v>45677.0</v>
      </c>
      <c r="E964" s="3">
        <v>55.0</v>
      </c>
      <c r="F964" s="5">
        <v>1.0</v>
      </c>
      <c r="G964" s="3">
        <v>714.0</v>
      </c>
      <c r="H964" s="3" t="str">
        <f>VLOOKUP(B964,'Currency Table'!$M$3:$N$6,2, FALSE)</f>
        <v>EUR</v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15.75" hidden="1" customHeight="1">
      <c r="A965" s="3" t="s">
        <v>219</v>
      </c>
      <c r="B965" s="3" t="s">
        <v>244</v>
      </c>
      <c r="C965" s="3" t="s">
        <v>248</v>
      </c>
      <c r="D965" s="4">
        <v>45677.0</v>
      </c>
      <c r="E965" s="3">
        <v>22.0</v>
      </c>
      <c r="F965" s="5">
        <v>2.0</v>
      </c>
      <c r="G965" s="3">
        <v>344.0</v>
      </c>
      <c r="H965" s="3" t="str">
        <f>VLOOKUP(B965,'Currency Table'!$M$3:$N$6,2, FALSE)</f>
        <v>EUR</v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15.75" hidden="1" customHeight="1">
      <c r="A966" s="3" t="s">
        <v>313</v>
      </c>
      <c r="B966" s="3" t="s">
        <v>244</v>
      </c>
      <c r="C966" s="3" t="s">
        <v>256</v>
      </c>
      <c r="D966" s="4">
        <v>45677.0</v>
      </c>
      <c r="E966" s="3">
        <v>29.0</v>
      </c>
      <c r="F966" s="5">
        <v>4.0</v>
      </c>
      <c r="G966" s="3">
        <v>422.0</v>
      </c>
      <c r="H966" s="3" t="str">
        <f>VLOOKUP(B966,'Currency Table'!$M$3:$N$6,2, FALSE)</f>
        <v>EUR</v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15.75" hidden="1" customHeight="1">
      <c r="A967" s="3" t="s">
        <v>243</v>
      </c>
      <c r="B967" s="3" t="s">
        <v>244</v>
      </c>
      <c r="C967" s="3" t="s">
        <v>246</v>
      </c>
      <c r="D967" s="4">
        <v>45677.0</v>
      </c>
      <c r="E967" s="3">
        <v>44.0</v>
      </c>
      <c r="F967" s="5">
        <v>3.0</v>
      </c>
      <c r="G967" s="3">
        <v>633.0</v>
      </c>
      <c r="H967" s="3" t="str">
        <f>VLOOKUP(B967,'Currency Table'!$M$3:$N$6,2, FALSE)</f>
        <v>EUR</v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15.75" hidden="1" customHeight="1">
      <c r="A968" s="3" t="s">
        <v>317</v>
      </c>
      <c r="B968" s="3" t="s">
        <v>244</v>
      </c>
      <c r="C968" s="3" t="s">
        <v>256</v>
      </c>
      <c r="D968" s="4">
        <v>45677.0</v>
      </c>
      <c r="E968" s="3">
        <v>70.0</v>
      </c>
      <c r="F968" s="5">
        <v>2.0</v>
      </c>
      <c r="G968" s="3">
        <v>1110.0</v>
      </c>
      <c r="H968" s="3" t="str">
        <f>VLOOKUP(B968,'Currency Table'!$M$3:$N$6,2, FALSE)</f>
        <v>EUR</v>
      </c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15.75" hidden="1" customHeight="1">
      <c r="A969" s="3" t="s">
        <v>289</v>
      </c>
      <c r="B969" s="3" t="s">
        <v>244</v>
      </c>
      <c r="C969" s="3" t="s">
        <v>246</v>
      </c>
      <c r="D969" s="4">
        <v>45677.0</v>
      </c>
      <c r="E969" s="3">
        <v>59.0</v>
      </c>
      <c r="F969" s="5">
        <v>0.0</v>
      </c>
      <c r="G969" s="3">
        <v>709.0</v>
      </c>
      <c r="H969" s="3" t="str">
        <f>VLOOKUP(B969,'Currency Table'!$M$3:$N$6,2, FALSE)</f>
        <v>EUR</v>
      </c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15.75" hidden="1" customHeight="1">
      <c r="A970" s="3" t="s">
        <v>295</v>
      </c>
      <c r="B970" s="3" t="s">
        <v>244</v>
      </c>
      <c r="C970" s="3" t="s">
        <v>246</v>
      </c>
      <c r="D970" s="4">
        <v>45677.0</v>
      </c>
      <c r="E970" s="3">
        <v>16.0</v>
      </c>
      <c r="F970" s="5">
        <v>0.0</v>
      </c>
      <c r="G970" s="3">
        <v>390.0</v>
      </c>
      <c r="H970" s="3" t="str">
        <f>VLOOKUP(B970,'Currency Table'!$M$3:$N$6,2, FALSE)</f>
        <v>EUR</v>
      </c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15.75" hidden="1" customHeight="1">
      <c r="A971" s="3" t="s">
        <v>296</v>
      </c>
      <c r="B971" s="3" t="s">
        <v>244</v>
      </c>
      <c r="C971" s="3" t="s">
        <v>248</v>
      </c>
      <c r="D971" s="4">
        <v>45677.0</v>
      </c>
      <c r="E971" s="3">
        <v>35.0</v>
      </c>
      <c r="F971" s="5">
        <v>3.0</v>
      </c>
      <c r="G971" s="3">
        <v>656.0</v>
      </c>
      <c r="H971" s="3" t="str">
        <f>VLOOKUP(B971,'Currency Table'!$M$3:$N$6,2, FALSE)</f>
        <v>EUR</v>
      </c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5.75" hidden="1" customHeight="1">
      <c r="A972" s="3" t="s">
        <v>301</v>
      </c>
      <c r="B972" s="3" t="s">
        <v>244</v>
      </c>
      <c r="C972" s="3" t="s">
        <v>248</v>
      </c>
      <c r="D972" s="4">
        <v>45677.0</v>
      </c>
      <c r="E972" s="3">
        <v>19.0</v>
      </c>
      <c r="F972" s="5">
        <v>3.0</v>
      </c>
      <c r="G972" s="3">
        <v>482.0</v>
      </c>
      <c r="H972" s="3" t="str">
        <f>VLOOKUP(B972,'Currency Table'!$M$3:$N$6,2, FALSE)</f>
        <v>EUR</v>
      </c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15.75" hidden="1" customHeight="1">
      <c r="A973" s="3" t="s">
        <v>326</v>
      </c>
      <c r="B973" s="3" t="s">
        <v>244</v>
      </c>
      <c r="C973" s="3" t="s">
        <v>251</v>
      </c>
      <c r="D973" s="4">
        <v>45677.0</v>
      </c>
      <c r="E973" s="3">
        <v>24.0</v>
      </c>
      <c r="F973" s="5">
        <v>3.0</v>
      </c>
      <c r="G973" s="3">
        <v>331.0</v>
      </c>
      <c r="H973" s="3" t="str">
        <f>VLOOKUP(B973,'Currency Table'!$M$3:$N$6,2, FALSE)</f>
        <v>EUR</v>
      </c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15.75" hidden="1" customHeight="1">
      <c r="A974" s="3" t="s">
        <v>242</v>
      </c>
      <c r="B974" s="3" t="s">
        <v>244</v>
      </c>
      <c r="C974" s="3" t="s">
        <v>246</v>
      </c>
      <c r="D974" s="4">
        <v>45677.0</v>
      </c>
      <c r="E974" s="3">
        <v>57.0</v>
      </c>
      <c r="F974" s="5">
        <v>1.0</v>
      </c>
      <c r="G974" s="3">
        <v>877.0</v>
      </c>
      <c r="H974" s="3" t="str">
        <f>VLOOKUP(B974,'Currency Table'!$M$3:$N$6,2, FALSE)</f>
        <v>EUR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15.75" hidden="1" customHeight="1">
      <c r="A975" s="3" t="s">
        <v>304</v>
      </c>
      <c r="B975" s="3" t="s">
        <v>244</v>
      </c>
      <c r="C975" s="3" t="s">
        <v>248</v>
      </c>
      <c r="D975" s="4">
        <v>45677.0</v>
      </c>
      <c r="E975" s="3">
        <v>70.0</v>
      </c>
      <c r="F975" s="5">
        <v>5.0</v>
      </c>
      <c r="G975" s="3">
        <v>1045.0</v>
      </c>
      <c r="H975" s="3" t="str">
        <f>VLOOKUP(B975,'Currency Table'!$M$3:$N$6,2, FALSE)</f>
        <v>EUR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5.75" hidden="1" customHeight="1">
      <c r="A976" s="3" t="s">
        <v>310</v>
      </c>
      <c r="B976" s="3" t="s">
        <v>244</v>
      </c>
      <c r="C976" s="3" t="s">
        <v>245</v>
      </c>
      <c r="D976" s="4">
        <v>45677.0</v>
      </c>
      <c r="E976" s="3">
        <v>48.0</v>
      </c>
      <c r="F976" s="5">
        <v>1.0</v>
      </c>
      <c r="G976" s="3">
        <v>863.0</v>
      </c>
      <c r="H976" s="3" t="str">
        <f>VLOOKUP(B976,'Currency Table'!$M$3:$N$6,2, FALSE)</f>
        <v>EUR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15.75" hidden="1" customHeight="1">
      <c r="A977" s="3" t="s">
        <v>309</v>
      </c>
      <c r="B977" s="3" t="s">
        <v>244</v>
      </c>
      <c r="C977" s="3" t="s">
        <v>248</v>
      </c>
      <c r="D977" s="4">
        <v>45677.0</v>
      </c>
      <c r="E977" s="3">
        <v>52.0</v>
      </c>
      <c r="F977" s="5">
        <v>4.0</v>
      </c>
      <c r="G977" s="3">
        <v>769.0</v>
      </c>
      <c r="H977" s="3" t="str">
        <f>VLOOKUP(B977,'Currency Table'!$M$3:$N$6,2, FALSE)</f>
        <v>EUR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15.75" hidden="1" customHeight="1">
      <c r="A978" s="3" t="s">
        <v>311</v>
      </c>
      <c r="B978" s="3" t="s">
        <v>244</v>
      </c>
      <c r="C978" s="3" t="s">
        <v>245</v>
      </c>
      <c r="D978" s="4">
        <v>45677.0</v>
      </c>
      <c r="E978" s="3">
        <v>44.0</v>
      </c>
      <c r="F978" s="5">
        <v>2.0</v>
      </c>
      <c r="G978" s="3">
        <v>671.0</v>
      </c>
      <c r="H978" s="3" t="str">
        <f>VLOOKUP(B978,'Currency Table'!$M$3:$N$6,2, FALSE)</f>
        <v>EUR</v>
      </c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15.75" hidden="1" customHeight="1">
      <c r="A979" s="3" t="s">
        <v>312</v>
      </c>
      <c r="B979" s="3" t="s">
        <v>244</v>
      </c>
      <c r="C979" s="3" t="s">
        <v>245</v>
      </c>
      <c r="D979" s="4">
        <v>45677.0</v>
      </c>
      <c r="E979" s="3">
        <v>33.0</v>
      </c>
      <c r="F979" s="5">
        <v>0.0</v>
      </c>
      <c r="G979" s="3">
        <v>506.0</v>
      </c>
      <c r="H979" s="3" t="str">
        <f>VLOOKUP(B979,'Currency Table'!$M$3:$N$6,2, FALSE)</f>
        <v>EUR</v>
      </c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15.75" hidden="1" customHeight="1">
      <c r="A980" s="3" t="s">
        <v>316</v>
      </c>
      <c r="B980" s="3" t="s">
        <v>244</v>
      </c>
      <c r="C980" s="3" t="s">
        <v>245</v>
      </c>
      <c r="D980" s="4">
        <v>45677.0</v>
      </c>
      <c r="E980" s="3">
        <v>30.0</v>
      </c>
      <c r="F980" s="5">
        <v>5.0</v>
      </c>
      <c r="G980" s="3">
        <v>279.0</v>
      </c>
      <c r="H980" s="3" t="str">
        <f>VLOOKUP(B980,'Currency Table'!$M$3:$N$6,2, FALSE)</f>
        <v>EUR</v>
      </c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15.75" hidden="1" customHeight="1">
      <c r="A981" s="3" t="s">
        <v>320</v>
      </c>
      <c r="B981" s="3" t="s">
        <v>244</v>
      </c>
      <c r="C981" s="3" t="s">
        <v>245</v>
      </c>
      <c r="D981" s="4">
        <v>45677.0</v>
      </c>
      <c r="E981" s="3">
        <v>41.0</v>
      </c>
      <c r="F981" s="5">
        <v>3.0</v>
      </c>
      <c r="G981" s="3">
        <v>667.0</v>
      </c>
      <c r="H981" s="3" t="str">
        <f>VLOOKUP(B981,'Currency Table'!$M$3:$N$6,2, FALSE)</f>
        <v>EUR</v>
      </c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15.75" hidden="1" customHeight="1">
      <c r="A982" s="3" t="s">
        <v>308</v>
      </c>
      <c r="B982" s="3" t="s">
        <v>244</v>
      </c>
      <c r="C982" s="3" t="s">
        <v>246</v>
      </c>
      <c r="D982" s="4">
        <v>45677.0</v>
      </c>
      <c r="E982" s="3">
        <v>35.0</v>
      </c>
      <c r="F982" s="5">
        <v>5.0</v>
      </c>
      <c r="G982" s="3">
        <v>626.0</v>
      </c>
      <c r="H982" s="3" t="str">
        <f>VLOOKUP(B982,'Currency Table'!$M$3:$N$6,2, FALSE)</f>
        <v>EUR</v>
      </c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15.75" hidden="1" customHeight="1">
      <c r="A983" s="3" t="s">
        <v>322</v>
      </c>
      <c r="B983" s="3" t="s">
        <v>244</v>
      </c>
      <c r="C983" s="3" t="s">
        <v>245</v>
      </c>
      <c r="D983" s="4">
        <v>45677.0</v>
      </c>
      <c r="E983" s="3">
        <v>60.0</v>
      </c>
      <c r="F983" s="5">
        <v>4.0</v>
      </c>
      <c r="G983" s="3">
        <v>900.0</v>
      </c>
      <c r="H983" s="3" t="str">
        <f>VLOOKUP(B983,'Currency Table'!$M$3:$N$6,2, FALSE)</f>
        <v>EUR</v>
      </c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15.75" hidden="1" customHeight="1">
      <c r="A984" s="3" t="s">
        <v>323</v>
      </c>
      <c r="B984" s="3" t="s">
        <v>244</v>
      </c>
      <c r="C984" s="3" t="s">
        <v>245</v>
      </c>
      <c r="D984" s="4">
        <v>45677.0</v>
      </c>
      <c r="E984" s="3">
        <v>65.0</v>
      </c>
      <c r="F984" s="5">
        <v>0.0</v>
      </c>
      <c r="G984" s="3">
        <v>906.0</v>
      </c>
      <c r="H984" s="3" t="str">
        <f>VLOOKUP(B984,'Currency Table'!$M$3:$N$6,2, FALSE)</f>
        <v>EUR</v>
      </c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15.75" hidden="1" customHeight="1">
      <c r="A985" s="3" t="s">
        <v>318</v>
      </c>
      <c r="B985" s="3" t="s">
        <v>244</v>
      </c>
      <c r="C985" s="3" t="s">
        <v>248</v>
      </c>
      <c r="D985" s="4">
        <v>45677.0</v>
      </c>
      <c r="E985" s="3">
        <v>60.0</v>
      </c>
      <c r="F985" s="5">
        <v>4.0</v>
      </c>
      <c r="G985" s="3">
        <v>890.0</v>
      </c>
      <c r="H985" s="3" t="str">
        <f>VLOOKUP(B985,'Currency Table'!$M$3:$N$6,2, FALSE)</f>
        <v>EUR</v>
      </c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15.75" hidden="1" customHeight="1">
      <c r="A986" s="3" t="s">
        <v>250</v>
      </c>
      <c r="B986" s="3" t="s">
        <v>244</v>
      </c>
      <c r="C986" s="3" t="s">
        <v>251</v>
      </c>
      <c r="D986" s="4">
        <v>45684.0</v>
      </c>
      <c r="E986" s="3">
        <v>49.0</v>
      </c>
      <c r="F986" s="5">
        <v>2.0</v>
      </c>
      <c r="G986" s="3">
        <v>824.0</v>
      </c>
      <c r="H986" s="3" t="str">
        <f>VLOOKUP(B986,'Currency Table'!$M$3:$N$6,2, FALSE)</f>
        <v>EUR</v>
      </c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15.75" hidden="1" customHeight="1">
      <c r="A987" s="3" t="s">
        <v>255</v>
      </c>
      <c r="B987" s="3" t="s">
        <v>244</v>
      </c>
      <c r="C987" s="3" t="s">
        <v>256</v>
      </c>
      <c r="D987" s="4">
        <v>45684.0</v>
      </c>
      <c r="E987" s="3">
        <v>42.0</v>
      </c>
      <c r="F987" s="5">
        <v>5.0</v>
      </c>
      <c r="G987" s="3">
        <v>581.0</v>
      </c>
      <c r="H987" s="3" t="str">
        <f>VLOOKUP(B987,'Currency Table'!$M$3:$N$6,2, FALSE)</f>
        <v>EUR</v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ht="15.75" hidden="1" customHeight="1">
      <c r="A988" s="3" t="s">
        <v>223</v>
      </c>
      <c r="B988" s="3" t="s">
        <v>244</v>
      </c>
      <c r="C988" s="3" t="s">
        <v>246</v>
      </c>
      <c r="D988" s="4">
        <v>45684.0</v>
      </c>
      <c r="E988" s="3">
        <v>57.0</v>
      </c>
      <c r="F988" s="5">
        <v>7.0</v>
      </c>
      <c r="G988" s="3">
        <v>710.0</v>
      </c>
      <c r="H988" s="3" t="str">
        <f>VLOOKUP(B988,'Currency Table'!$M$3:$N$6,2, FALSE)</f>
        <v>EUR</v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ht="15.75" hidden="1" customHeight="1">
      <c r="A989" s="3" t="s">
        <v>258</v>
      </c>
      <c r="B989" s="3" t="s">
        <v>244</v>
      </c>
      <c r="C989" s="3" t="s">
        <v>256</v>
      </c>
      <c r="D989" s="4">
        <v>45684.0</v>
      </c>
      <c r="E989" s="3">
        <v>50.0</v>
      </c>
      <c r="F989" s="5">
        <v>0.0</v>
      </c>
      <c r="G989" s="3">
        <v>806.0</v>
      </c>
      <c r="H989" s="3" t="str">
        <f>VLOOKUP(B989,'Currency Table'!$M$3:$N$6,2, FALSE)</f>
        <v>EUR</v>
      </c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ht="15.75" hidden="1" customHeight="1">
      <c r="A990" s="3" t="s">
        <v>224</v>
      </c>
      <c r="B990" s="3" t="s">
        <v>244</v>
      </c>
      <c r="C990" s="3" t="s">
        <v>245</v>
      </c>
      <c r="D990" s="4">
        <v>45684.0</v>
      </c>
      <c r="E990" s="3">
        <v>50.0</v>
      </c>
      <c r="F990" s="5">
        <v>1.0</v>
      </c>
      <c r="G990" s="3">
        <v>756.0</v>
      </c>
      <c r="H990" s="3" t="str">
        <f>VLOOKUP(B990,'Currency Table'!$M$3:$N$6,2, FALSE)</f>
        <v>EUR</v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ht="15.75" hidden="1" customHeight="1">
      <c r="A991" s="3" t="s">
        <v>247</v>
      </c>
      <c r="B991" s="3" t="s">
        <v>244</v>
      </c>
      <c r="C991" s="3" t="s">
        <v>248</v>
      </c>
      <c r="D991" s="4">
        <v>45684.0</v>
      </c>
      <c r="E991" s="3">
        <v>17.0</v>
      </c>
      <c r="F991" s="5">
        <v>5.0</v>
      </c>
      <c r="G991" s="3">
        <v>408.0</v>
      </c>
      <c r="H991" s="3" t="str">
        <f>VLOOKUP(B991,'Currency Table'!$M$3:$N$6,2, FALSE)</f>
        <v>EUR</v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ht="15.75" hidden="1" customHeight="1">
      <c r="A992" s="3" t="s">
        <v>253</v>
      </c>
      <c r="B992" s="3" t="s">
        <v>244</v>
      </c>
      <c r="C992" s="3" t="s">
        <v>251</v>
      </c>
      <c r="D992" s="4">
        <v>45684.0</v>
      </c>
      <c r="E992" s="3">
        <v>58.0</v>
      </c>
      <c r="F992" s="5">
        <v>2.0</v>
      </c>
      <c r="G992" s="3">
        <v>718.0</v>
      </c>
      <c r="H992" s="3" t="str">
        <f>VLOOKUP(B992,'Currency Table'!$M$3:$N$6,2, FALSE)</f>
        <v>EUR</v>
      </c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ht="15.75" hidden="1" customHeight="1">
      <c r="A993" s="3" t="s">
        <v>211</v>
      </c>
      <c r="B993" s="3" t="s">
        <v>244</v>
      </c>
      <c r="C993" s="3" t="s">
        <v>248</v>
      </c>
      <c r="D993" s="4">
        <v>45684.0</v>
      </c>
      <c r="E993" s="3">
        <v>30.0</v>
      </c>
      <c r="F993" s="5">
        <v>1.0</v>
      </c>
      <c r="G993" s="3">
        <v>288.0</v>
      </c>
      <c r="H993" s="3" t="str">
        <f>VLOOKUP(B993,'Currency Table'!$M$3:$N$6,2, FALSE)</f>
        <v>EUR</v>
      </c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ht="15.75" hidden="1" customHeight="1">
      <c r="A994" s="3" t="s">
        <v>264</v>
      </c>
      <c r="B994" s="3" t="s">
        <v>244</v>
      </c>
      <c r="C994" s="3" t="s">
        <v>251</v>
      </c>
      <c r="D994" s="4">
        <v>45684.0</v>
      </c>
      <c r="E994" s="3">
        <v>55.0</v>
      </c>
      <c r="F994" s="5">
        <v>2.0</v>
      </c>
      <c r="G994" s="3">
        <v>805.0</v>
      </c>
      <c r="H994" s="3" t="str">
        <f>VLOOKUP(B994,'Currency Table'!$M$3:$N$6,2, FALSE)</f>
        <v>EUR</v>
      </c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ht="15.75" hidden="1" customHeight="1">
      <c r="A995" s="3" t="s">
        <v>261</v>
      </c>
      <c r="B995" s="3" t="s">
        <v>244</v>
      </c>
      <c r="C995" s="3" t="s">
        <v>256</v>
      </c>
      <c r="D995" s="4">
        <v>45684.0</v>
      </c>
      <c r="E995" s="3">
        <v>46.0</v>
      </c>
      <c r="F995" s="5">
        <v>5.0</v>
      </c>
      <c r="G995" s="3">
        <v>811.0</v>
      </c>
      <c r="H995" s="3" t="str">
        <f>VLOOKUP(B995,'Currency Table'!$M$3:$N$6,2, FALSE)</f>
        <v>EUR</v>
      </c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ht="15.75" hidden="1" customHeight="1">
      <c r="A996" s="3" t="s">
        <v>254</v>
      </c>
      <c r="B996" s="3" t="s">
        <v>244</v>
      </c>
      <c r="C996" s="3" t="s">
        <v>245</v>
      </c>
      <c r="D996" s="4">
        <v>45684.0</v>
      </c>
      <c r="E996" s="3">
        <v>50.0</v>
      </c>
      <c r="F996" s="5">
        <v>0.0</v>
      </c>
      <c r="G996" s="3">
        <v>793.0</v>
      </c>
      <c r="H996" s="3" t="str">
        <f>VLOOKUP(B996,'Currency Table'!$M$3:$N$6,2, FALSE)</f>
        <v>EUR</v>
      </c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ht="15.75" hidden="1" customHeight="1">
      <c r="A997" s="3" t="s">
        <v>262</v>
      </c>
      <c r="B997" s="3" t="s">
        <v>244</v>
      </c>
      <c r="C997" s="3" t="s">
        <v>256</v>
      </c>
      <c r="D997" s="4">
        <v>45684.0</v>
      </c>
      <c r="E997" s="3">
        <v>40.0</v>
      </c>
      <c r="F997" s="5">
        <v>4.0</v>
      </c>
      <c r="G997" s="3">
        <v>615.0</v>
      </c>
      <c r="H997" s="3" t="str">
        <f>VLOOKUP(B997,'Currency Table'!$M$3:$N$6,2, FALSE)</f>
        <v>EUR</v>
      </c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ht="15.75" hidden="1" customHeight="1">
      <c r="A998" s="3" t="s">
        <v>257</v>
      </c>
      <c r="B998" s="3" t="s">
        <v>244</v>
      </c>
      <c r="C998" s="3" t="s">
        <v>245</v>
      </c>
      <c r="D998" s="4">
        <v>45684.0</v>
      </c>
      <c r="E998" s="3">
        <v>66.0</v>
      </c>
      <c r="F998" s="5">
        <v>1.0</v>
      </c>
      <c r="G998" s="3">
        <v>959.0</v>
      </c>
      <c r="H998" s="3" t="str">
        <f>VLOOKUP(B998,'Currency Table'!$M$3:$N$6,2, FALSE)</f>
        <v>EUR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ht="15.75" hidden="1" customHeight="1">
      <c r="A999" s="3" t="s">
        <v>226</v>
      </c>
      <c r="B999" s="3" t="s">
        <v>244</v>
      </c>
      <c r="C999" s="3" t="s">
        <v>245</v>
      </c>
      <c r="D999" s="4">
        <v>45684.0</v>
      </c>
      <c r="E999" s="3">
        <v>24.0</v>
      </c>
      <c r="F999" s="5">
        <v>3.0</v>
      </c>
      <c r="G999" s="3">
        <v>305.0</v>
      </c>
      <c r="H999" s="3" t="str">
        <f>VLOOKUP(B999,'Currency Table'!$M$3:$N$6,2, FALSE)</f>
        <v>EUR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ht="15.75" hidden="1" customHeight="1">
      <c r="A1000" s="3" t="s">
        <v>260</v>
      </c>
      <c r="B1000" s="3" t="s">
        <v>244</v>
      </c>
      <c r="C1000" s="3" t="s">
        <v>246</v>
      </c>
      <c r="D1000" s="4">
        <v>45684.0</v>
      </c>
      <c r="E1000" s="3">
        <v>41.0</v>
      </c>
      <c r="F1000" s="5">
        <v>1.0</v>
      </c>
      <c r="G1000" s="3">
        <v>648.0</v>
      </c>
      <c r="H1000" s="3" t="str">
        <f>VLOOKUP(B1000,'Currency Table'!$M$3:$N$6,2, FALSE)</f>
        <v>EUR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 ht="15.75" hidden="1" customHeight="1">
      <c r="A1001" s="3" t="s">
        <v>265</v>
      </c>
      <c r="B1001" s="3" t="s">
        <v>244</v>
      </c>
      <c r="C1001" s="3" t="s">
        <v>256</v>
      </c>
      <c r="D1001" s="4">
        <v>45684.0</v>
      </c>
      <c r="E1001" s="3">
        <v>42.0</v>
      </c>
      <c r="F1001" s="5">
        <v>5.0</v>
      </c>
      <c r="G1001" s="3">
        <v>527.0</v>
      </c>
      <c r="H1001" s="3" t="str">
        <f>VLOOKUP(B1001,'Currency Table'!$M$3:$N$6,2, FALSE)</f>
        <v>EUR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 ht="15.75" hidden="1" customHeight="1">
      <c r="A1002" s="3" t="s">
        <v>267</v>
      </c>
      <c r="B1002" s="3" t="s">
        <v>244</v>
      </c>
      <c r="C1002" s="3" t="s">
        <v>256</v>
      </c>
      <c r="D1002" s="4">
        <v>45684.0</v>
      </c>
      <c r="E1002" s="3">
        <v>36.0</v>
      </c>
      <c r="F1002" s="5">
        <v>1.0</v>
      </c>
      <c r="G1002" s="3">
        <v>559.0</v>
      </c>
      <c r="H1002" s="3" t="str">
        <f>VLOOKUP(B1002,'Currency Table'!$M$3:$N$6,2, FALSE)</f>
        <v>EUR</v>
      </c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 ht="15.75" hidden="1" customHeight="1">
      <c r="A1003" s="3" t="s">
        <v>269</v>
      </c>
      <c r="B1003" s="3" t="s">
        <v>244</v>
      </c>
      <c r="C1003" s="3" t="s">
        <v>251</v>
      </c>
      <c r="D1003" s="4">
        <v>45684.0</v>
      </c>
      <c r="E1003" s="3">
        <v>70.0</v>
      </c>
      <c r="F1003" s="5">
        <v>1.0</v>
      </c>
      <c r="G1003" s="3">
        <v>1045.0</v>
      </c>
      <c r="H1003" s="3" t="str">
        <f>VLOOKUP(B1003,'Currency Table'!$M$3:$N$6,2, FALSE)</f>
        <v>EUR</v>
      </c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 ht="15.75" hidden="1" customHeight="1">
      <c r="A1004" s="3" t="s">
        <v>266</v>
      </c>
      <c r="B1004" s="3" t="s">
        <v>244</v>
      </c>
      <c r="C1004" s="3" t="s">
        <v>246</v>
      </c>
      <c r="D1004" s="4">
        <v>45684.0</v>
      </c>
      <c r="E1004" s="3">
        <v>53.0</v>
      </c>
      <c r="F1004" s="5">
        <v>3.0</v>
      </c>
      <c r="G1004" s="3">
        <v>700.0</v>
      </c>
      <c r="H1004" s="3" t="str">
        <f>VLOOKUP(B1004,'Currency Table'!$M$3:$N$6,2, FALSE)</f>
        <v>EUR</v>
      </c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  <row r="1005" ht="15.75" hidden="1" customHeight="1">
      <c r="A1005" s="3" t="s">
        <v>230</v>
      </c>
      <c r="B1005" s="3" t="s">
        <v>244</v>
      </c>
      <c r="C1005" s="3" t="s">
        <v>245</v>
      </c>
      <c r="D1005" s="4">
        <v>45684.0</v>
      </c>
      <c r="E1005" s="3">
        <v>39.0</v>
      </c>
      <c r="F1005" s="5">
        <v>3.0</v>
      </c>
      <c r="G1005" s="3">
        <v>537.0</v>
      </c>
      <c r="H1005" s="3" t="str">
        <f>VLOOKUP(B1005,'Currency Table'!$M$3:$N$6,2, FALSE)</f>
        <v>EUR</v>
      </c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</row>
    <row r="1006" ht="15.75" hidden="1" customHeight="1">
      <c r="A1006" s="3" t="s">
        <v>270</v>
      </c>
      <c r="B1006" s="3" t="s">
        <v>244</v>
      </c>
      <c r="C1006" s="3" t="s">
        <v>256</v>
      </c>
      <c r="D1006" s="4">
        <v>45684.0</v>
      </c>
      <c r="E1006" s="3">
        <v>59.0</v>
      </c>
      <c r="F1006" s="5">
        <v>2.0</v>
      </c>
      <c r="G1006" s="3">
        <v>843.0</v>
      </c>
      <c r="H1006" s="3" t="str">
        <f>VLOOKUP(B1006,'Currency Table'!$M$3:$N$6,2, FALSE)</f>
        <v>EUR</v>
      </c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</row>
    <row r="1007" ht="15.75" hidden="1" customHeight="1">
      <c r="A1007" s="3" t="s">
        <v>272</v>
      </c>
      <c r="B1007" s="3" t="s">
        <v>244</v>
      </c>
      <c r="C1007" s="3" t="s">
        <v>256</v>
      </c>
      <c r="D1007" s="4">
        <v>45684.0</v>
      </c>
      <c r="E1007" s="3">
        <v>13.0</v>
      </c>
      <c r="F1007" s="5">
        <v>2.0</v>
      </c>
      <c r="G1007" s="3">
        <v>218.0</v>
      </c>
      <c r="H1007" s="3" t="str">
        <f>VLOOKUP(B1007,'Currency Table'!$M$3:$N$6,2, FALSE)</f>
        <v>EUR</v>
      </c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 ht="15.75" hidden="1" customHeight="1">
      <c r="A1008" s="3" t="s">
        <v>229</v>
      </c>
      <c r="B1008" s="3" t="s">
        <v>244</v>
      </c>
      <c r="C1008" s="3" t="s">
        <v>245</v>
      </c>
      <c r="D1008" s="4">
        <v>45684.0</v>
      </c>
      <c r="E1008" s="3">
        <v>30.0</v>
      </c>
      <c r="F1008" s="5">
        <v>5.0</v>
      </c>
      <c r="G1008" s="3">
        <v>326.0</v>
      </c>
      <c r="H1008" s="3" t="str">
        <f>VLOOKUP(B1008,'Currency Table'!$M$3:$N$6,2, FALSE)</f>
        <v>EUR</v>
      </c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</row>
    <row r="1009" ht="15.75" hidden="1" customHeight="1">
      <c r="A1009" s="3" t="s">
        <v>249</v>
      </c>
      <c r="B1009" s="3" t="s">
        <v>244</v>
      </c>
      <c r="C1009" s="3" t="s">
        <v>248</v>
      </c>
      <c r="D1009" s="4">
        <v>45684.0</v>
      </c>
      <c r="E1009" s="3">
        <v>13.0</v>
      </c>
      <c r="F1009" s="5">
        <v>3.0</v>
      </c>
      <c r="G1009" s="3">
        <v>151.0</v>
      </c>
      <c r="H1009" s="3" t="str">
        <f>VLOOKUP(B1009,'Currency Table'!$M$3:$N$6,2, FALSE)</f>
        <v>EUR</v>
      </c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</row>
    <row r="1010" ht="15.75" hidden="1" customHeight="1">
      <c r="A1010" s="3" t="s">
        <v>274</v>
      </c>
      <c r="B1010" s="3" t="s">
        <v>244</v>
      </c>
      <c r="C1010" s="3" t="s">
        <v>256</v>
      </c>
      <c r="D1010" s="4">
        <v>45684.0</v>
      </c>
      <c r="E1010" s="3">
        <v>55.0</v>
      </c>
      <c r="F1010" s="5">
        <v>4.0</v>
      </c>
      <c r="G1010" s="3">
        <v>701.0</v>
      </c>
      <c r="H1010" s="3" t="str">
        <f>VLOOKUP(B1010,'Currency Table'!$M$3:$N$6,2, FALSE)</f>
        <v>EUR</v>
      </c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</row>
    <row r="1011" ht="15.75" hidden="1" customHeight="1">
      <c r="A1011" s="3" t="s">
        <v>271</v>
      </c>
      <c r="B1011" s="3" t="s">
        <v>244</v>
      </c>
      <c r="C1011" s="3" t="s">
        <v>251</v>
      </c>
      <c r="D1011" s="4">
        <v>45684.0</v>
      </c>
      <c r="E1011" s="3">
        <v>10.0</v>
      </c>
      <c r="F1011" s="5">
        <v>0.0</v>
      </c>
      <c r="G1011" s="3">
        <v>248.0</v>
      </c>
      <c r="H1011" s="3" t="str">
        <f>VLOOKUP(B1011,'Currency Table'!$M$3:$N$6,2, FALSE)</f>
        <v>EUR</v>
      </c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</row>
    <row r="1012" ht="15.75" hidden="1" customHeight="1">
      <c r="A1012" s="3" t="s">
        <v>252</v>
      </c>
      <c r="B1012" s="3" t="s">
        <v>244</v>
      </c>
      <c r="C1012" s="3" t="s">
        <v>248</v>
      </c>
      <c r="D1012" s="4">
        <v>45684.0</v>
      </c>
      <c r="E1012" s="3">
        <v>48.0</v>
      </c>
      <c r="F1012" s="5">
        <v>1.0</v>
      </c>
      <c r="G1012" s="3">
        <v>740.0</v>
      </c>
      <c r="H1012" s="3" t="str">
        <f>VLOOKUP(B1012,'Currency Table'!$M$3:$N$6,2, FALSE)</f>
        <v>EUR</v>
      </c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</row>
    <row r="1013" ht="15.75" hidden="1" customHeight="1">
      <c r="A1013" s="3" t="s">
        <v>273</v>
      </c>
      <c r="B1013" s="3" t="s">
        <v>244</v>
      </c>
      <c r="C1013" s="3" t="s">
        <v>251</v>
      </c>
      <c r="D1013" s="4">
        <v>45684.0</v>
      </c>
      <c r="E1013" s="3">
        <v>53.0</v>
      </c>
      <c r="F1013" s="5">
        <v>4.0</v>
      </c>
      <c r="G1013" s="3">
        <v>860.0</v>
      </c>
      <c r="H1013" s="3" t="str">
        <f>VLOOKUP(B1013,'Currency Table'!$M$3:$N$6,2, FALSE)</f>
        <v>EUR</v>
      </c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</row>
    <row r="1014" ht="15.75" hidden="1" customHeight="1">
      <c r="A1014" s="3" t="s">
        <v>231</v>
      </c>
      <c r="B1014" s="3" t="s">
        <v>244</v>
      </c>
      <c r="C1014" s="3" t="s">
        <v>245</v>
      </c>
      <c r="D1014" s="4">
        <v>45684.0</v>
      </c>
      <c r="E1014" s="3">
        <v>42.0</v>
      </c>
      <c r="F1014" s="5">
        <v>4.0</v>
      </c>
      <c r="G1014" s="3">
        <v>531.0</v>
      </c>
      <c r="H1014" s="3" t="str">
        <f>VLOOKUP(B1014,'Currency Table'!$M$3:$N$6,2, FALSE)</f>
        <v>EUR</v>
      </c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</row>
    <row r="1015" ht="15.75" hidden="1" customHeight="1">
      <c r="A1015" s="3" t="s">
        <v>276</v>
      </c>
      <c r="B1015" s="3" t="s">
        <v>244</v>
      </c>
      <c r="C1015" s="3" t="s">
        <v>251</v>
      </c>
      <c r="D1015" s="4">
        <v>45684.0</v>
      </c>
      <c r="E1015" s="3">
        <v>46.0</v>
      </c>
      <c r="F1015" s="5">
        <v>0.0</v>
      </c>
      <c r="G1015" s="3">
        <v>826.0</v>
      </c>
      <c r="H1015" s="3" t="str">
        <f>VLOOKUP(B1015,'Currency Table'!$M$3:$N$6,2, FALSE)</f>
        <v>EUR</v>
      </c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</row>
    <row r="1016" ht="15.75" hidden="1" customHeight="1">
      <c r="A1016" s="3" t="s">
        <v>210</v>
      </c>
      <c r="B1016" s="3" t="s">
        <v>244</v>
      </c>
      <c r="C1016" s="3" t="s">
        <v>248</v>
      </c>
      <c r="D1016" s="4">
        <v>45684.0</v>
      </c>
      <c r="E1016" s="3">
        <v>12.0</v>
      </c>
      <c r="F1016" s="5">
        <v>0.0</v>
      </c>
      <c r="G1016" s="3">
        <v>248.0</v>
      </c>
      <c r="H1016" s="3" t="str">
        <f>VLOOKUP(B1016,'Currency Table'!$M$3:$N$6,2, FALSE)</f>
        <v>EUR</v>
      </c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</row>
    <row r="1017" ht="15.75" hidden="1" customHeight="1">
      <c r="A1017" s="3" t="s">
        <v>259</v>
      </c>
      <c r="B1017" s="3" t="s">
        <v>244</v>
      </c>
      <c r="C1017" s="3" t="s">
        <v>248</v>
      </c>
      <c r="D1017" s="4">
        <v>45684.0</v>
      </c>
      <c r="E1017" s="3">
        <v>56.0</v>
      </c>
      <c r="F1017" s="5">
        <v>2.0</v>
      </c>
      <c r="G1017" s="3">
        <v>723.0</v>
      </c>
      <c r="H1017" s="3" t="str">
        <f>VLOOKUP(B1017,'Currency Table'!$M$3:$N$6,2, FALSE)</f>
        <v>EUR</v>
      </c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</row>
    <row r="1018" ht="15.75" hidden="1" customHeight="1">
      <c r="A1018" s="3" t="s">
        <v>277</v>
      </c>
      <c r="B1018" s="3" t="s">
        <v>244</v>
      </c>
      <c r="C1018" s="3" t="s">
        <v>246</v>
      </c>
      <c r="D1018" s="4">
        <v>45684.0</v>
      </c>
      <c r="E1018" s="3">
        <v>64.0</v>
      </c>
      <c r="F1018" s="5">
        <v>1.0</v>
      </c>
      <c r="G1018" s="3">
        <v>929.0</v>
      </c>
      <c r="H1018" s="3" t="str">
        <f>VLOOKUP(B1018,'Currency Table'!$M$3:$N$6,2, FALSE)</f>
        <v>EUR</v>
      </c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</row>
    <row r="1019" ht="15.75" hidden="1" customHeight="1">
      <c r="A1019" s="3" t="s">
        <v>275</v>
      </c>
      <c r="B1019" s="3" t="s">
        <v>244</v>
      </c>
      <c r="C1019" s="3" t="s">
        <v>256</v>
      </c>
      <c r="D1019" s="4">
        <v>45684.0</v>
      </c>
      <c r="E1019" s="3">
        <v>69.0</v>
      </c>
      <c r="F1019" s="5">
        <v>4.0</v>
      </c>
      <c r="G1019" s="3">
        <v>930.0</v>
      </c>
      <c r="H1019" s="3" t="str">
        <f>VLOOKUP(B1019,'Currency Table'!$M$3:$N$6,2, FALSE)</f>
        <v>EUR</v>
      </c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</row>
    <row r="1020" ht="15.75" hidden="1" customHeight="1">
      <c r="A1020" s="3" t="s">
        <v>278</v>
      </c>
      <c r="B1020" s="3" t="s">
        <v>244</v>
      </c>
      <c r="C1020" s="3" t="s">
        <v>246</v>
      </c>
      <c r="D1020" s="4">
        <v>45684.0</v>
      </c>
      <c r="E1020" s="3">
        <v>48.0</v>
      </c>
      <c r="F1020" s="5">
        <v>2.0</v>
      </c>
      <c r="G1020" s="3">
        <v>818.0</v>
      </c>
      <c r="H1020" s="3" t="str">
        <f>VLOOKUP(B1020,'Currency Table'!$M$3:$N$6,2, FALSE)</f>
        <v>EUR</v>
      </c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</row>
    <row r="1021" ht="15.75" hidden="1" customHeight="1">
      <c r="A1021" s="3" t="s">
        <v>286</v>
      </c>
      <c r="B1021" s="3" t="s">
        <v>244</v>
      </c>
      <c r="C1021" s="3" t="s">
        <v>251</v>
      </c>
      <c r="D1021" s="4">
        <v>45684.0</v>
      </c>
      <c r="E1021" s="3">
        <v>51.0</v>
      </c>
      <c r="F1021" s="5">
        <v>2.0</v>
      </c>
      <c r="G1021" s="3">
        <v>835.0</v>
      </c>
      <c r="H1021" s="3" t="str">
        <f>VLOOKUP(B1021,'Currency Table'!$M$3:$N$6,2, FALSE)</f>
        <v>EUR</v>
      </c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</row>
    <row r="1022" ht="15.75" hidden="1" customHeight="1">
      <c r="A1022" s="3" t="s">
        <v>280</v>
      </c>
      <c r="B1022" s="3" t="s">
        <v>244</v>
      </c>
      <c r="C1022" s="3" t="s">
        <v>245</v>
      </c>
      <c r="D1022" s="4">
        <v>45684.0</v>
      </c>
      <c r="E1022" s="3">
        <v>59.0</v>
      </c>
      <c r="F1022" s="5">
        <v>4.0</v>
      </c>
      <c r="G1022" s="3">
        <v>705.0</v>
      </c>
      <c r="H1022" s="3" t="str">
        <f>VLOOKUP(B1022,'Currency Table'!$M$3:$N$6,2, FALSE)</f>
        <v>EUR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</row>
    <row r="1023" ht="15.75" hidden="1" customHeight="1">
      <c r="A1023" s="3" t="s">
        <v>227</v>
      </c>
      <c r="B1023" s="3" t="s">
        <v>244</v>
      </c>
      <c r="C1023" s="3" t="s">
        <v>245</v>
      </c>
      <c r="D1023" s="4">
        <v>45684.0</v>
      </c>
      <c r="E1023" s="3">
        <v>65.0</v>
      </c>
      <c r="F1023" s="5">
        <v>3.0</v>
      </c>
      <c r="G1023" s="3">
        <v>981.0</v>
      </c>
      <c r="H1023" s="3" t="str">
        <f>VLOOKUP(B1023,'Currency Table'!$M$3:$N$6,2, FALSE)</f>
        <v>EUR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</row>
    <row r="1024" ht="15.75" hidden="1" customHeight="1">
      <c r="A1024" s="3" t="s">
        <v>279</v>
      </c>
      <c r="B1024" s="3" t="s">
        <v>244</v>
      </c>
      <c r="C1024" s="3" t="s">
        <v>256</v>
      </c>
      <c r="D1024" s="4">
        <v>45684.0</v>
      </c>
      <c r="E1024" s="3">
        <v>20.0</v>
      </c>
      <c r="F1024" s="5">
        <v>1.0</v>
      </c>
      <c r="G1024" s="3">
        <v>438.0</v>
      </c>
      <c r="H1024" s="3" t="str">
        <f>VLOOKUP(B1024,'Currency Table'!$M$3:$N$6,2, FALSE)</f>
        <v>EUR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</row>
    <row r="1025" ht="15.75" hidden="1" customHeight="1">
      <c r="A1025" s="3" t="s">
        <v>263</v>
      </c>
      <c r="B1025" s="3" t="s">
        <v>244</v>
      </c>
      <c r="C1025" s="3" t="s">
        <v>248</v>
      </c>
      <c r="D1025" s="4">
        <v>45684.0</v>
      </c>
      <c r="E1025" s="3">
        <v>10.0</v>
      </c>
      <c r="F1025" s="5">
        <v>0.0</v>
      </c>
      <c r="G1025" s="3">
        <v>185.0</v>
      </c>
      <c r="H1025" s="3" t="str">
        <f>VLOOKUP(B1025,'Currency Table'!$M$3:$N$6,2, FALSE)</f>
        <v>EUR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</row>
    <row r="1026" ht="15.75" hidden="1" customHeight="1">
      <c r="A1026" s="3" t="s">
        <v>282</v>
      </c>
      <c r="B1026" s="3" t="s">
        <v>244</v>
      </c>
      <c r="C1026" s="3" t="s">
        <v>245</v>
      </c>
      <c r="D1026" s="4">
        <v>45684.0</v>
      </c>
      <c r="E1026" s="3">
        <v>52.0</v>
      </c>
      <c r="F1026" s="5">
        <v>2.0</v>
      </c>
      <c r="G1026" s="3">
        <v>719.0</v>
      </c>
      <c r="H1026" s="3" t="str">
        <f>VLOOKUP(B1026,'Currency Table'!$M$3:$N$6,2, FALSE)</f>
        <v>EUR</v>
      </c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</row>
    <row r="1027" ht="15.75" hidden="1" customHeight="1">
      <c r="A1027" s="3" t="s">
        <v>209</v>
      </c>
      <c r="B1027" s="3" t="s">
        <v>244</v>
      </c>
      <c r="C1027" s="3" t="s">
        <v>248</v>
      </c>
      <c r="D1027" s="4">
        <v>45684.0</v>
      </c>
      <c r="E1027" s="3">
        <v>34.0</v>
      </c>
      <c r="F1027" s="5">
        <v>3.0</v>
      </c>
      <c r="G1027" s="3">
        <v>636.0</v>
      </c>
      <c r="H1027" s="3" t="str">
        <f>VLOOKUP(B1027,'Currency Table'!$M$3:$N$6,2, FALSE)</f>
        <v>EUR</v>
      </c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</row>
    <row r="1028" ht="15.75" hidden="1" customHeight="1">
      <c r="A1028" s="3" t="s">
        <v>291</v>
      </c>
      <c r="B1028" s="3" t="s">
        <v>244</v>
      </c>
      <c r="C1028" s="3" t="s">
        <v>251</v>
      </c>
      <c r="D1028" s="4">
        <v>45684.0</v>
      </c>
      <c r="E1028" s="3">
        <v>36.0</v>
      </c>
      <c r="F1028" s="5">
        <v>1.0</v>
      </c>
      <c r="G1028" s="3">
        <v>503.0</v>
      </c>
      <c r="H1028" s="3" t="str">
        <f>VLOOKUP(B1028,'Currency Table'!$M$3:$N$6,2, FALSE)</f>
        <v>EUR</v>
      </c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</row>
    <row r="1029" ht="15.75" hidden="1" customHeight="1">
      <c r="A1029" s="3" t="s">
        <v>268</v>
      </c>
      <c r="B1029" s="3" t="s">
        <v>244</v>
      </c>
      <c r="C1029" s="3" t="s">
        <v>248</v>
      </c>
      <c r="D1029" s="4">
        <v>45684.0</v>
      </c>
      <c r="E1029" s="3">
        <v>55.0</v>
      </c>
      <c r="F1029" s="5">
        <v>0.0</v>
      </c>
      <c r="G1029" s="3">
        <v>701.0</v>
      </c>
      <c r="H1029" s="3" t="str">
        <f>VLOOKUP(B1029,'Currency Table'!$M$3:$N$6,2, FALSE)</f>
        <v>EUR</v>
      </c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</row>
    <row r="1030" ht="15.75" hidden="1" customHeight="1">
      <c r="A1030" s="3" t="s">
        <v>213</v>
      </c>
      <c r="B1030" s="3" t="s">
        <v>244</v>
      </c>
      <c r="C1030" s="3" t="s">
        <v>256</v>
      </c>
      <c r="D1030" s="4">
        <v>45684.0</v>
      </c>
      <c r="E1030" s="3">
        <v>38.0</v>
      </c>
      <c r="F1030" s="5">
        <v>3.0</v>
      </c>
      <c r="G1030" s="3">
        <v>553.0</v>
      </c>
      <c r="H1030" s="3" t="str">
        <f>VLOOKUP(B1030,'Currency Table'!$M$3:$N$6,2, FALSE)</f>
        <v>EUR</v>
      </c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</row>
    <row r="1031" ht="15.75" hidden="1" customHeight="1">
      <c r="A1031" s="3" t="s">
        <v>283</v>
      </c>
      <c r="B1031" s="3" t="s">
        <v>244</v>
      </c>
      <c r="C1031" s="3" t="s">
        <v>256</v>
      </c>
      <c r="D1031" s="4">
        <v>45684.0</v>
      </c>
      <c r="E1031" s="3">
        <v>41.0</v>
      </c>
      <c r="F1031" s="5">
        <v>5.0</v>
      </c>
      <c r="G1031" s="3">
        <v>611.0</v>
      </c>
      <c r="H1031" s="3" t="str">
        <f>VLOOKUP(B1031,'Currency Table'!$M$3:$N$6,2, FALSE)</f>
        <v>EUR</v>
      </c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</row>
    <row r="1032" ht="15.75" hidden="1" customHeight="1">
      <c r="A1032" s="3" t="s">
        <v>294</v>
      </c>
      <c r="B1032" s="3" t="s">
        <v>244</v>
      </c>
      <c r="C1032" s="3" t="s">
        <v>251</v>
      </c>
      <c r="D1032" s="4">
        <v>45684.0</v>
      </c>
      <c r="E1032" s="3">
        <v>55.0</v>
      </c>
      <c r="F1032" s="5">
        <v>1.0</v>
      </c>
      <c r="G1032" s="3">
        <v>785.0</v>
      </c>
      <c r="H1032" s="3" t="str">
        <f>VLOOKUP(B1032,'Currency Table'!$M$3:$N$6,2, FALSE)</f>
        <v>EUR</v>
      </c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</row>
    <row r="1033" ht="15.75" hidden="1" customHeight="1">
      <c r="A1033" s="3" t="s">
        <v>297</v>
      </c>
      <c r="B1033" s="3" t="s">
        <v>244</v>
      </c>
      <c r="C1033" s="3" t="s">
        <v>251</v>
      </c>
      <c r="D1033" s="4">
        <v>45684.0</v>
      </c>
      <c r="E1033" s="3">
        <v>23.0</v>
      </c>
      <c r="F1033" s="5">
        <v>1.0</v>
      </c>
      <c r="G1033" s="3">
        <v>265.0</v>
      </c>
      <c r="H1033" s="3" t="str">
        <f>VLOOKUP(B1033,'Currency Table'!$M$3:$N$6,2, FALSE)</f>
        <v>EUR</v>
      </c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</row>
    <row r="1034" ht="15.75" hidden="1" customHeight="1">
      <c r="A1034" s="3" t="s">
        <v>285</v>
      </c>
      <c r="B1034" s="3" t="s">
        <v>244</v>
      </c>
      <c r="C1034" s="3" t="s">
        <v>256</v>
      </c>
      <c r="D1034" s="4">
        <v>45684.0</v>
      </c>
      <c r="E1034" s="3">
        <v>64.0</v>
      </c>
      <c r="F1034" s="5">
        <v>0.0</v>
      </c>
      <c r="G1034" s="3">
        <v>961.0</v>
      </c>
      <c r="H1034" s="3" t="str">
        <f>VLOOKUP(B1034,'Currency Table'!$M$3:$N$6,2, FALSE)</f>
        <v>EUR</v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</row>
    <row r="1035" ht="15.75" hidden="1" customHeight="1">
      <c r="A1035" s="3" t="s">
        <v>281</v>
      </c>
      <c r="B1035" s="3" t="s">
        <v>244</v>
      </c>
      <c r="C1035" s="3" t="s">
        <v>248</v>
      </c>
      <c r="D1035" s="4">
        <v>45684.0</v>
      </c>
      <c r="E1035" s="3">
        <v>17.0</v>
      </c>
      <c r="F1035" s="5">
        <v>3.0</v>
      </c>
      <c r="G1035" s="3">
        <v>442.0</v>
      </c>
      <c r="H1035" s="3" t="str">
        <f>VLOOKUP(B1035,'Currency Table'!$M$3:$N$6,2, FALSE)</f>
        <v>EUR</v>
      </c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</row>
    <row r="1036" ht="15.75" hidden="1" customHeight="1">
      <c r="A1036" s="3" t="s">
        <v>287</v>
      </c>
      <c r="B1036" s="3" t="s">
        <v>244</v>
      </c>
      <c r="C1036" s="3" t="s">
        <v>256</v>
      </c>
      <c r="D1036" s="4">
        <v>45684.0</v>
      </c>
      <c r="E1036" s="3">
        <v>45.0</v>
      </c>
      <c r="F1036" s="5">
        <v>4.0</v>
      </c>
      <c r="G1036" s="3">
        <v>561.0</v>
      </c>
      <c r="H1036" s="3" t="str">
        <f>VLOOKUP(B1036,'Currency Table'!$M$3:$N$6,2, FALSE)</f>
        <v>EUR</v>
      </c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</row>
    <row r="1037" ht="15.75" hidden="1" customHeight="1">
      <c r="A1037" s="3" t="s">
        <v>303</v>
      </c>
      <c r="B1037" s="3" t="s">
        <v>244</v>
      </c>
      <c r="C1037" s="3" t="s">
        <v>251</v>
      </c>
      <c r="D1037" s="4">
        <v>45684.0</v>
      </c>
      <c r="E1037" s="3">
        <v>25.0</v>
      </c>
      <c r="F1037" s="5">
        <v>2.0</v>
      </c>
      <c r="G1037" s="3">
        <v>250.0</v>
      </c>
      <c r="H1037" s="3" t="str">
        <f>VLOOKUP(B1037,'Currency Table'!$M$3:$N$6,2, FALSE)</f>
        <v>EUR</v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</row>
    <row r="1038" ht="15.75" hidden="1" customHeight="1">
      <c r="A1038" s="3" t="s">
        <v>233</v>
      </c>
      <c r="B1038" s="3" t="s">
        <v>244</v>
      </c>
      <c r="C1038" s="3" t="s">
        <v>246</v>
      </c>
      <c r="D1038" s="4">
        <v>45684.0</v>
      </c>
      <c r="E1038" s="3">
        <v>25.0</v>
      </c>
      <c r="F1038" s="5">
        <v>2.0</v>
      </c>
      <c r="G1038" s="3">
        <v>345.0</v>
      </c>
      <c r="H1038" s="3" t="str">
        <f>VLOOKUP(B1038,'Currency Table'!$M$3:$N$6,2, FALSE)</f>
        <v>EUR</v>
      </c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</row>
    <row r="1039" ht="15.75" hidden="1" customHeight="1">
      <c r="A1039" s="3" t="s">
        <v>298</v>
      </c>
      <c r="B1039" s="3" t="s">
        <v>244</v>
      </c>
      <c r="C1039" s="3" t="s">
        <v>245</v>
      </c>
      <c r="D1039" s="4">
        <v>45684.0</v>
      </c>
      <c r="E1039" s="3">
        <v>21.0</v>
      </c>
      <c r="F1039" s="5">
        <v>5.0</v>
      </c>
      <c r="G1039" s="3">
        <v>325.0</v>
      </c>
      <c r="H1039" s="3" t="str">
        <f>VLOOKUP(B1039,'Currency Table'!$M$3:$N$6,2, FALSE)</f>
        <v>EUR</v>
      </c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</row>
    <row r="1040" ht="15.75" hidden="1" customHeight="1">
      <c r="A1040" s="3" t="s">
        <v>214</v>
      </c>
      <c r="B1040" s="3" t="s">
        <v>244</v>
      </c>
      <c r="C1040" s="3" t="s">
        <v>248</v>
      </c>
      <c r="D1040" s="4">
        <v>45684.0</v>
      </c>
      <c r="E1040" s="3">
        <v>25.0</v>
      </c>
      <c r="F1040" s="5">
        <v>0.0</v>
      </c>
      <c r="G1040" s="3">
        <v>428.0</v>
      </c>
      <c r="H1040" s="3" t="str">
        <f>VLOOKUP(B1040,'Currency Table'!$M$3:$N$6,2, FALSE)</f>
        <v>EUR</v>
      </c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</row>
    <row r="1041" ht="15.75" hidden="1" customHeight="1">
      <c r="A1041" s="3" t="s">
        <v>307</v>
      </c>
      <c r="B1041" s="3" t="s">
        <v>244</v>
      </c>
      <c r="C1041" s="3" t="s">
        <v>251</v>
      </c>
      <c r="D1041" s="4">
        <v>45684.0</v>
      </c>
      <c r="E1041" s="3">
        <v>57.0</v>
      </c>
      <c r="F1041" s="5">
        <v>1.0</v>
      </c>
      <c r="G1041" s="3">
        <v>858.0</v>
      </c>
      <c r="H1041" s="3" t="str">
        <f>VLOOKUP(B1041,'Currency Table'!$M$3:$N$6,2, FALSE)</f>
        <v>EUR</v>
      </c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</row>
    <row r="1042" ht="15.75" hidden="1" customHeight="1">
      <c r="A1042" s="3" t="s">
        <v>288</v>
      </c>
      <c r="B1042" s="3" t="s">
        <v>244</v>
      </c>
      <c r="C1042" s="3" t="s">
        <v>256</v>
      </c>
      <c r="D1042" s="4">
        <v>45684.0</v>
      </c>
      <c r="E1042" s="3">
        <v>36.0</v>
      </c>
      <c r="F1042" s="5">
        <v>3.0</v>
      </c>
      <c r="G1042" s="3">
        <v>630.0</v>
      </c>
      <c r="H1042" s="3" t="str">
        <f>VLOOKUP(B1042,'Currency Table'!$M$3:$N$6,2, FALSE)</f>
        <v>EUR</v>
      </c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</row>
    <row r="1043" ht="15.75" hidden="1" customHeight="1">
      <c r="A1043" s="3" t="s">
        <v>292</v>
      </c>
      <c r="B1043" s="3" t="s">
        <v>244</v>
      </c>
      <c r="C1043" s="3" t="s">
        <v>256</v>
      </c>
      <c r="D1043" s="4">
        <v>45684.0</v>
      </c>
      <c r="E1043" s="3">
        <v>19.0</v>
      </c>
      <c r="F1043" s="5">
        <v>2.0</v>
      </c>
      <c r="G1043" s="3">
        <v>443.0</v>
      </c>
      <c r="H1043" s="3" t="str">
        <f>VLOOKUP(B1043,'Currency Table'!$M$3:$N$6,2, FALSE)</f>
        <v>EUR</v>
      </c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</row>
    <row r="1044" ht="15.75" hidden="1" customHeight="1">
      <c r="A1044" s="3" t="s">
        <v>314</v>
      </c>
      <c r="B1044" s="3" t="s">
        <v>244</v>
      </c>
      <c r="C1044" s="3" t="s">
        <v>251</v>
      </c>
      <c r="D1044" s="4">
        <v>45684.0</v>
      </c>
      <c r="E1044" s="3">
        <v>61.0</v>
      </c>
      <c r="F1044" s="5">
        <v>1.0</v>
      </c>
      <c r="G1044" s="3">
        <v>1044.0</v>
      </c>
      <c r="H1044" s="3" t="str">
        <f>VLOOKUP(B1044,'Currency Table'!$M$3:$N$6,2, FALSE)</f>
        <v>EUR</v>
      </c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</row>
    <row r="1045" ht="15.75" hidden="1" customHeight="1">
      <c r="A1045" s="3" t="s">
        <v>299</v>
      </c>
      <c r="B1045" s="3" t="s">
        <v>244</v>
      </c>
      <c r="C1045" s="3" t="s">
        <v>245</v>
      </c>
      <c r="D1045" s="4">
        <v>45684.0</v>
      </c>
      <c r="E1045" s="3">
        <v>55.0</v>
      </c>
      <c r="F1045" s="5">
        <v>3.0</v>
      </c>
      <c r="G1045" s="3">
        <v>860.0</v>
      </c>
      <c r="H1045" s="3" t="str">
        <f>VLOOKUP(B1045,'Currency Table'!$M$3:$N$6,2, FALSE)</f>
        <v>EUR</v>
      </c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</row>
    <row r="1046" ht="15.75" hidden="1" customHeight="1">
      <c r="A1046" s="3" t="s">
        <v>293</v>
      </c>
      <c r="B1046" s="3" t="s">
        <v>244</v>
      </c>
      <c r="C1046" s="3" t="s">
        <v>256</v>
      </c>
      <c r="D1046" s="4">
        <v>45684.0</v>
      </c>
      <c r="E1046" s="3">
        <v>48.0</v>
      </c>
      <c r="F1046" s="5">
        <v>0.0</v>
      </c>
      <c r="G1046" s="3">
        <v>849.0</v>
      </c>
      <c r="H1046" s="3" t="str">
        <f>VLOOKUP(B1046,'Currency Table'!$M$3:$N$6,2, FALSE)</f>
        <v>EUR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</row>
    <row r="1047" ht="15.75" hidden="1" customHeight="1">
      <c r="A1047" s="3" t="s">
        <v>212</v>
      </c>
      <c r="B1047" s="3" t="s">
        <v>244</v>
      </c>
      <c r="C1047" s="3" t="s">
        <v>248</v>
      </c>
      <c r="D1047" s="4">
        <v>45684.0</v>
      </c>
      <c r="E1047" s="3">
        <v>39.0</v>
      </c>
      <c r="F1047" s="5">
        <v>0.0</v>
      </c>
      <c r="G1047" s="3">
        <v>502.0</v>
      </c>
      <c r="H1047" s="3" t="str">
        <f>VLOOKUP(B1047,'Currency Table'!$M$3:$N$6,2, FALSE)</f>
        <v>EUR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</row>
    <row r="1048" ht="15.75" hidden="1" customHeight="1">
      <c r="A1048" s="3" t="s">
        <v>302</v>
      </c>
      <c r="B1048" s="3" t="s">
        <v>244</v>
      </c>
      <c r="C1048" s="3" t="s">
        <v>245</v>
      </c>
      <c r="D1048" s="4">
        <v>45684.0</v>
      </c>
      <c r="E1048" s="3">
        <v>22.0</v>
      </c>
      <c r="F1048" s="5">
        <v>5.0</v>
      </c>
      <c r="G1048" s="3">
        <v>295.0</v>
      </c>
      <c r="H1048" s="3" t="str">
        <f>VLOOKUP(B1048,'Currency Table'!$M$3:$N$6,2, FALSE)</f>
        <v>EUR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</row>
    <row r="1049" ht="15.75" hidden="1" customHeight="1">
      <c r="A1049" s="3" t="s">
        <v>315</v>
      </c>
      <c r="B1049" s="3" t="s">
        <v>244</v>
      </c>
      <c r="C1049" s="3" t="s">
        <v>251</v>
      </c>
      <c r="D1049" s="4">
        <v>45684.0</v>
      </c>
      <c r="E1049" s="3">
        <v>62.0</v>
      </c>
      <c r="F1049" s="5">
        <v>5.0</v>
      </c>
      <c r="G1049" s="3">
        <v>1037.0</v>
      </c>
      <c r="H1049" s="3" t="str">
        <f>VLOOKUP(B1049,'Currency Table'!$M$3:$N$6,2, FALSE)</f>
        <v>EUR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</row>
    <row r="1050" ht="15.75" hidden="1" customHeight="1">
      <c r="A1050" s="3" t="s">
        <v>310</v>
      </c>
      <c r="B1050" s="3" t="s">
        <v>244</v>
      </c>
      <c r="C1050" s="3" t="s">
        <v>245</v>
      </c>
      <c r="D1050" s="4">
        <v>45684.0</v>
      </c>
      <c r="E1050" s="3">
        <v>19.0</v>
      </c>
      <c r="F1050" s="5">
        <v>0.0</v>
      </c>
      <c r="G1050" s="3">
        <v>492.0</v>
      </c>
      <c r="H1050" s="3" t="str">
        <f>VLOOKUP(B1050,'Currency Table'!$M$3:$N$6,2, FALSE)</f>
        <v>EUR</v>
      </c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</row>
    <row r="1051" ht="15.75" hidden="1" customHeight="1">
      <c r="A1051" s="3" t="s">
        <v>215</v>
      </c>
      <c r="B1051" s="3" t="s">
        <v>244</v>
      </c>
      <c r="C1051" s="3" t="s">
        <v>256</v>
      </c>
      <c r="D1051" s="4">
        <v>45684.0</v>
      </c>
      <c r="E1051" s="3">
        <v>54.0</v>
      </c>
      <c r="F1051" s="5">
        <v>5.0</v>
      </c>
      <c r="G1051" s="3">
        <v>819.0</v>
      </c>
      <c r="H1051" s="3" t="str">
        <f>VLOOKUP(B1051,'Currency Table'!$M$3:$N$6,2, FALSE)</f>
        <v>EUR</v>
      </c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</row>
    <row r="1052" ht="15.75" hidden="1" customHeight="1">
      <c r="A1052" s="3" t="s">
        <v>324</v>
      </c>
      <c r="B1052" s="3" t="s">
        <v>244</v>
      </c>
      <c r="C1052" s="3" t="s">
        <v>251</v>
      </c>
      <c r="D1052" s="4">
        <v>45684.0</v>
      </c>
      <c r="E1052" s="3">
        <v>23.0</v>
      </c>
      <c r="F1052" s="5">
        <v>0.0</v>
      </c>
      <c r="G1052" s="3">
        <v>404.0</v>
      </c>
      <c r="H1052" s="3" t="str">
        <f>VLOOKUP(B1052,'Currency Table'!$M$3:$N$6,2, FALSE)</f>
        <v>EUR</v>
      </c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</row>
    <row r="1053" ht="15.75" hidden="1" customHeight="1">
      <c r="A1053" s="3" t="s">
        <v>234</v>
      </c>
      <c r="B1053" s="3" t="s">
        <v>244</v>
      </c>
      <c r="C1053" s="3" t="s">
        <v>246</v>
      </c>
      <c r="D1053" s="4">
        <v>45684.0</v>
      </c>
      <c r="E1053" s="3">
        <v>34.0</v>
      </c>
      <c r="F1053" s="5">
        <v>3.0</v>
      </c>
      <c r="G1053" s="3">
        <v>502.0</v>
      </c>
      <c r="H1053" s="3" t="str">
        <f>VLOOKUP(B1053,'Currency Table'!$M$3:$N$6,2, FALSE)</f>
        <v>EUR</v>
      </c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</row>
    <row r="1054" ht="15.75" hidden="1" customHeight="1">
      <c r="A1054" s="3" t="s">
        <v>300</v>
      </c>
      <c r="B1054" s="3" t="s">
        <v>244</v>
      </c>
      <c r="C1054" s="3" t="s">
        <v>256</v>
      </c>
      <c r="D1054" s="4">
        <v>45684.0</v>
      </c>
      <c r="E1054" s="3">
        <v>64.0</v>
      </c>
      <c r="F1054" s="5">
        <v>1.0</v>
      </c>
      <c r="G1054" s="3">
        <v>1038.0</v>
      </c>
      <c r="H1054" s="3" t="str">
        <f>VLOOKUP(B1054,'Currency Table'!$M$3:$N$6,2, FALSE)</f>
        <v>EUR</v>
      </c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</row>
    <row r="1055" ht="15.75" hidden="1" customHeight="1">
      <c r="A1055" s="3" t="s">
        <v>325</v>
      </c>
      <c r="B1055" s="3" t="s">
        <v>244</v>
      </c>
      <c r="C1055" s="3" t="s">
        <v>251</v>
      </c>
      <c r="D1055" s="4">
        <v>45684.0</v>
      </c>
      <c r="E1055" s="3">
        <v>63.0</v>
      </c>
      <c r="F1055" s="5">
        <v>4.0</v>
      </c>
      <c r="G1055" s="3">
        <v>903.0</v>
      </c>
      <c r="H1055" s="3" t="str">
        <f>VLOOKUP(B1055,'Currency Table'!$M$3:$N$6,2, FALSE)</f>
        <v>EUR</v>
      </c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</row>
    <row r="1056" ht="15.75" hidden="1" customHeight="1">
      <c r="A1056" s="3" t="s">
        <v>289</v>
      </c>
      <c r="B1056" s="3" t="s">
        <v>244</v>
      </c>
      <c r="C1056" s="3" t="s">
        <v>246</v>
      </c>
      <c r="D1056" s="4">
        <v>45684.0</v>
      </c>
      <c r="E1056" s="3">
        <v>32.0</v>
      </c>
      <c r="F1056" s="5">
        <v>1.0</v>
      </c>
      <c r="G1056" s="3">
        <v>509.0</v>
      </c>
      <c r="H1056" s="3" t="str">
        <f>VLOOKUP(B1056,'Currency Table'!$M$3:$N$6,2, FALSE)</f>
        <v>EUR</v>
      </c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</row>
    <row r="1057" ht="15.75" hidden="1" customHeight="1">
      <c r="A1057" s="3" t="s">
        <v>284</v>
      </c>
      <c r="B1057" s="3" t="s">
        <v>244</v>
      </c>
      <c r="C1057" s="3" t="s">
        <v>248</v>
      </c>
      <c r="D1057" s="4">
        <v>45684.0</v>
      </c>
      <c r="E1057" s="3">
        <v>46.0</v>
      </c>
      <c r="F1057" s="5">
        <v>2.0</v>
      </c>
      <c r="G1057" s="3">
        <v>783.0</v>
      </c>
      <c r="H1057" s="3" t="str">
        <f>VLOOKUP(B1057,'Currency Table'!$M$3:$N$6,2, FALSE)</f>
        <v>EUR</v>
      </c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</row>
    <row r="1058" ht="15.75" hidden="1" customHeight="1">
      <c r="A1058" s="3" t="s">
        <v>218</v>
      </c>
      <c r="B1058" s="3" t="s">
        <v>244</v>
      </c>
      <c r="C1058" s="3" t="s">
        <v>248</v>
      </c>
      <c r="D1058" s="4">
        <v>45684.0</v>
      </c>
      <c r="E1058" s="3">
        <v>47.0</v>
      </c>
      <c r="F1058" s="5">
        <v>3.0</v>
      </c>
      <c r="G1058" s="3">
        <v>817.0</v>
      </c>
      <c r="H1058" s="3" t="str">
        <f>VLOOKUP(B1058,'Currency Table'!$M$3:$N$6,2, FALSE)</f>
        <v>EUR</v>
      </c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</row>
    <row r="1059" ht="15.75" hidden="1" customHeight="1">
      <c r="A1059" s="3" t="s">
        <v>326</v>
      </c>
      <c r="B1059" s="3" t="s">
        <v>244</v>
      </c>
      <c r="C1059" s="3" t="s">
        <v>251</v>
      </c>
      <c r="D1059" s="4">
        <v>45684.0</v>
      </c>
      <c r="E1059" s="3">
        <v>52.0</v>
      </c>
      <c r="F1059" s="5">
        <v>5.0</v>
      </c>
      <c r="G1059" s="3">
        <v>886.0</v>
      </c>
      <c r="H1059" s="3" t="str">
        <f>VLOOKUP(B1059,'Currency Table'!$M$3:$N$6,2, FALSE)</f>
        <v>EUR</v>
      </c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</row>
    <row r="1060" ht="15.75" hidden="1" customHeight="1">
      <c r="A1060" s="3" t="s">
        <v>311</v>
      </c>
      <c r="B1060" s="3" t="s">
        <v>244</v>
      </c>
      <c r="C1060" s="3" t="s">
        <v>245</v>
      </c>
      <c r="D1060" s="4">
        <v>45684.0</v>
      </c>
      <c r="E1060" s="3">
        <v>60.0</v>
      </c>
      <c r="F1060" s="5">
        <v>3.0</v>
      </c>
      <c r="G1060" s="3">
        <v>840.0</v>
      </c>
      <c r="H1060" s="3" t="str">
        <f>VLOOKUP(B1060,'Currency Table'!$M$3:$N$6,2, FALSE)</f>
        <v>EUR</v>
      </c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</row>
    <row r="1061" ht="15.75" hidden="1" customHeight="1">
      <c r="A1061" s="3" t="s">
        <v>290</v>
      </c>
      <c r="B1061" s="3" t="s">
        <v>244</v>
      </c>
      <c r="C1061" s="3" t="s">
        <v>248</v>
      </c>
      <c r="D1061" s="4">
        <v>45684.0</v>
      </c>
      <c r="E1061" s="3">
        <v>70.0</v>
      </c>
      <c r="F1061" s="5">
        <v>2.0</v>
      </c>
      <c r="G1061" s="3">
        <v>918.0</v>
      </c>
      <c r="H1061" s="3" t="str">
        <f>VLOOKUP(B1061,'Currency Table'!$M$3:$N$6,2, FALSE)</f>
        <v>EUR</v>
      </c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</row>
    <row r="1062" ht="15.75" hidden="1" customHeight="1">
      <c r="A1062" s="3" t="s">
        <v>232</v>
      </c>
      <c r="B1062" s="3" t="s">
        <v>244</v>
      </c>
      <c r="C1062" s="3" t="s">
        <v>246</v>
      </c>
      <c r="D1062" s="4">
        <v>45684.0</v>
      </c>
      <c r="E1062" s="3">
        <v>29.0</v>
      </c>
      <c r="F1062" s="5">
        <v>5.0</v>
      </c>
      <c r="G1062" s="3">
        <v>365.0</v>
      </c>
      <c r="H1062" s="3" t="str">
        <f>VLOOKUP(B1062,'Currency Table'!$M$3:$N$6,2, FALSE)</f>
        <v>EUR</v>
      </c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</row>
    <row r="1063" ht="15.75" hidden="1" customHeight="1">
      <c r="A1063" s="3" t="s">
        <v>313</v>
      </c>
      <c r="B1063" s="3" t="s">
        <v>244</v>
      </c>
      <c r="C1063" s="3" t="s">
        <v>256</v>
      </c>
      <c r="D1063" s="4">
        <v>45684.0</v>
      </c>
      <c r="E1063" s="3">
        <v>43.0</v>
      </c>
      <c r="F1063" s="5">
        <v>2.0</v>
      </c>
      <c r="G1063" s="3">
        <v>691.0</v>
      </c>
      <c r="H1063" s="3" t="str">
        <f>VLOOKUP(B1063,'Currency Table'!$M$3:$N$6,2, FALSE)</f>
        <v>EUR</v>
      </c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</row>
    <row r="1064" ht="15.75" hidden="1" customHeight="1">
      <c r="A1064" s="3" t="s">
        <v>219</v>
      </c>
      <c r="B1064" s="3" t="s">
        <v>244</v>
      </c>
      <c r="C1064" s="3" t="s">
        <v>248</v>
      </c>
      <c r="D1064" s="4">
        <v>45684.0</v>
      </c>
      <c r="E1064" s="3">
        <v>43.0</v>
      </c>
      <c r="F1064" s="5">
        <v>5.0</v>
      </c>
      <c r="G1064" s="3">
        <v>544.0</v>
      </c>
      <c r="H1064" s="3" t="str">
        <f>VLOOKUP(B1064,'Currency Table'!$M$3:$N$6,2, FALSE)</f>
        <v>EUR</v>
      </c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</row>
    <row r="1065" ht="15.75" hidden="1" customHeight="1">
      <c r="A1065" s="3" t="s">
        <v>317</v>
      </c>
      <c r="B1065" s="3" t="s">
        <v>244</v>
      </c>
      <c r="C1065" s="3" t="s">
        <v>256</v>
      </c>
      <c r="D1065" s="4">
        <v>45684.0</v>
      </c>
      <c r="E1065" s="3">
        <v>52.0</v>
      </c>
      <c r="F1065" s="5">
        <v>5.0</v>
      </c>
      <c r="G1065" s="3">
        <v>754.0</v>
      </c>
      <c r="H1065" s="3" t="str">
        <f>VLOOKUP(B1065,'Currency Table'!$M$3:$N$6,2, FALSE)</f>
        <v>EUR</v>
      </c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</row>
    <row r="1066" ht="15.75" hidden="1" customHeight="1">
      <c r="A1066" s="3" t="s">
        <v>295</v>
      </c>
      <c r="B1066" s="3" t="s">
        <v>244</v>
      </c>
      <c r="C1066" s="3" t="s">
        <v>246</v>
      </c>
      <c r="D1066" s="4">
        <v>45684.0</v>
      </c>
      <c r="E1066" s="3">
        <v>62.0</v>
      </c>
      <c r="F1066" s="5">
        <v>4.0</v>
      </c>
      <c r="G1066" s="3">
        <v>928.0</v>
      </c>
      <c r="H1066" s="3" t="str">
        <f>VLOOKUP(B1066,'Currency Table'!$M$3:$N$6,2, FALSE)</f>
        <v>EUR</v>
      </c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</row>
    <row r="1067" ht="15.75" hidden="1" customHeight="1">
      <c r="A1067" s="3" t="s">
        <v>327</v>
      </c>
      <c r="B1067" s="3" t="s">
        <v>244</v>
      </c>
      <c r="C1067" s="3" t="s">
        <v>251</v>
      </c>
      <c r="D1067" s="4">
        <v>45684.0</v>
      </c>
      <c r="E1067" s="3">
        <v>24.0</v>
      </c>
      <c r="F1067" s="5">
        <v>1.0</v>
      </c>
      <c r="G1067" s="3">
        <v>285.0</v>
      </c>
      <c r="H1067" s="3" t="str">
        <f>VLOOKUP(B1067,'Currency Table'!$M$3:$N$6,2, FALSE)</f>
        <v>EUR</v>
      </c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</row>
    <row r="1068" ht="15.75" hidden="1" customHeight="1">
      <c r="A1068" s="3" t="s">
        <v>296</v>
      </c>
      <c r="B1068" s="3" t="s">
        <v>244</v>
      </c>
      <c r="C1068" s="3" t="s">
        <v>248</v>
      </c>
      <c r="D1068" s="4">
        <v>45684.0</v>
      </c>
      <c r="E1068" s="3">
        <v>39.0</v>
      </c>
      <c r="F1068" s="5">
        <v>1.0</v>
      </c>
      <c r="G1068" s="3">
        <v>570.0</v>
      </c>
      <c r="H1068" s="3" t="str">
        <f>VLOOKUP(B1068,'Currency Table'!$M$3:$N$6,2, FALSE)</f>
        <v>EUR</v>
      </c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</row>
    <row r="1069" ht="15.75" hidden="1" customHeight="1">
      <c r="A1069" s="3" t="s">
        <v>328</v>
      </c>
      <c r="B1069" s="3" t="s">
        <v>244</v>
      </c>
      <c r="C1069" s="3" t="s">
        <v>251</v>
      </c>
      <c r="D1069" s="4">
        <v>45684.0</v>
      </c>
      <c r="E1069" s="3">
        <v>62.0</v>
      </c>
      <c r="F1069" s="5">
        <v>5.0</v>
      </c>
      <c r="G1069" s="3">
        <v>919.0</v>
      </c>
      <c r="H1069" s="3" t="str">
        <f>VLOOKUP(B1069,'Currency Table'!$M$3:$N$6,2, FALSE)</f>
        <v>EUR</v>
      </c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</row>
    <row r="1070" ht="15.75" hidden="1" customHeight="1">
      <c r="A1070" s="3" t="s">
        <v>312</v>
      </c>
      <c r="B1070" s="3" t="s">
        <v>244</v>
      </c>
      <c r="C1070" s="3" t="s">
        <v>245</v>
      </c>
      <c r="D1070" s="4">
        <v>45684.0</v>
      </c>
      <c r="E1070" s="3">
        <v>51.0</v>
      </c>
      <c r="F1070" s="5">
        <v>0.0</v>
      </c>
      <c r="G1070" s="3">
        <v>759.0</v>
      </c>
      <c r="H1070" s="3" t="str">
        <f>VLOOKUP(B1070,'Currency Table'!$M$3:$N$6,2, FALSE)</f>
        <v>EUR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</row>
    <row r="1071" ht="15.75" hidden="1" customHeight="1">
      <c r="A1071" s="3" t="s">
        <v>316</v>
      </c>
      <c r="B1071" s="3" t="s">
        <v>244</v>
      </c>
      <c r="C1071" s="3" t="s">
        <v>245</v>
      </c>
      <c r="D1071" s="4">
        <v>45684.0</v>
      </c>
      <c r="E1071" s="3">
        <v>32.0</v>
      </c>
      <c r="F1071" s="5">
        <v>2.0</v>
      </c>
      <c r="G1071" s="3">
        <v>611.0</v>
      </c>
      <c r="H1071" s="3" t="str">
        <f>VLOOKUP(B1071,'Currency Table'!$M$3:$N$6,2, FALSE)</f>
        <v>EUR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</row>
    <row r="1072" ht="15.75" hidden="1" customHeight="1">
      <c r="A1072" s="3" t="s">
        <v>320</v>
      </c>
      <c r="B1072" s="3" t="s">
        <v>244</v>
      </c>
      <c r="C1072" s="3" t="s">
        <v>245</v>
      </c>
      <c r="D1072" s="4">
        <v>45684.0</v>
      </c>
      <c r="E1072" s="3">
        <v>36.0</v>
      </c>
      <c r="F1072" s="5">
        <v>3.0</v>
      </c>
      <c r="G1072" s="3">
        <v>691.0</v>
      </c>
      <c r="H1072" s="3" t="str">
        <f>VLOOKUP(B1072,'Currency Table'!$M$3:$N$6,2, FALSE)</f>
        <v>EUR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</row>
    <row r="1073" ht="15.75" hidden="1" customHeight="1">
      <c r="A1073" s="3" t="s">
        <v>301</v>
      </c>
      <c r="B1073" s="3" t="s">
        <v>244</v>
      </c>
      <c r="C1073" s="3" t="s">
        <v>248</v>
      </c>
      <c r="D1073" s="4">
        <v>45684.0</v>
      </c>
      <c r="E1073" s="3">
        <v>36.0</v>
      </c>
      <c r="F1073" s="5">
        <v>3.0</v>
      </c>
      <c r="G1073" s="3">
        <v>655.0</v>
      </c>
      <c r="H1073" s="3" t="str">
        <f>VLOOKUP(B1073,'Currency Table'!$M$3:$N$6,2, FALSE)</f>
        <v>EUR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</row>
    <row r="1074" ht="15.75" hidden="1" customHeight="1">
      <c r="A1074" s="3" t="s">
        <v>306</v>
      </c>
      <c r="B1074" s="3" t="s">
        <v>244</v>
      </c>
      <c r="C1074" s="3" t="s">
        <v>246</v>
      </c>
      <c r="D1074" s="4">
        <v>45684.0</v>
      </c>
      <c r="E1074" s="3">
        <v>40.0</v>
      </c>
      <c r="F1074" s="5">
        <v>2.0</v>
      </c>
      <c r="G1074" s="3">
        <v>676.0</v>
      </c>
      <c r="H1074" s="3" t="str">
        <f>VLOOKUP(B1074,'Currency Table'!$M$3:$N$6,2, FALSE)</f>
        <v>EUR</v>
      </c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</row>
    <row r="1075" ht="15.75" hidden="1" customHeight="1">
      <c r="A1075" s="3" t="s">
        <v>322</v>
      </c>
      <c r="B1075" s="3" t="s">
        <v>244</v>
      </c>
      <c r="C1075" s="3" t="s">
        <v>245</v>
      </c>
      <c r="D1075" s="4">
        <v>45684.0</v>
      </c>
      <c r="E1075" s="3">
        <v>48.0</v>
      </c>
      <c r="F1075" s="5">
        <v>1.0</v>
      </c>
      <c r="G1075" s="3">
        <v>795.0</v>
      </c>
      <c r="H1075" s="3" t="str">
        <f>VLOOKUP(B1075,'Currency Table'!$M$3:$N$6,2, FALSE)</f>
        <v>EUR</v>
      </c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</row>
    <row r="1076" ht="15.75" hidden="1" customHeight="1">
      <c r="A1076" s="3" t="s">
        <v>319</v>
      </c>
      <c r="B1076" s="3" t="s">
        <v>244</v>
      </c>
      <c r="C1076" s="3" t="s">
        <v>246</v>
      </c>
      <c r="D1076" s="4">
        <v>45684.0</v>
      </c>
      <c r="E1076" s="3">
        <v>10.0</v>
      </c>
      <c r="F1076" s="5">
        <v>1.0</v>
      </c>
      <c r="G1076" s="3">
        <v>237.0</v>
      </c>
      <c r="H1076" s="3" t="str">
        <f>VLOOKUP(B1076,'Currency Table'!$M$3:$N$6,2, FALSE)</f>
        <v>EUR</v>
      </c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</row>
    <row r="1077" ht="15.75" hidden="1" customHeight="1">
      <c r="A1077" s="3" t="s">
        <v>304</v>
      </c>
      <c r="B1077" s="3" t="s">
        <v>244</v>
      </c>
      <c r="C1077" s="3" t="s">
        <v>248</v>
      </c>
      <c r="D1077" s="4">
        <v>45684.0</v>
      </c>
      <c r="E1077" s="3">
        <v>51.0</v>
      </c>
      <c r="F1077" s="5">
        <v>2.0</v>
      </c>
      <c r="G1077" s="3">
        <v>742.0</v>
      </c>
      <c r="H1077" s="3" t="str">
        <f>VLOOKUP(B1077,'Currency Table'!$M$3:$N$6,2, FALSE)</f>
        <v>EUR</v>
      </c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</row>
    <row r="1078" ht="15.75" hidden="1" customHeight="1">
      <c r="A1078" s="3" t="s">
        <v>318</v>
      </c>
      <c r="B1078" s="3" t="s">
        <v>244</v>
      </c>
      <c r="C1078" s="3" t="s">
        <v>248</v>
      </c>
      <c r="D1078" s="4">
        <v>45684.0</v>
      </c>
      <c r="E1078" s="3">
        <v>18.0</v>
      </c>
      <c r="F1078" s="5">
        <v>3.0</v>
      </c>
      <c r="G1078" s="3">
        <v>364.0</v>
      </c>
      <c r="H1078" s="3" t="str">
        <f>VLOOKUP(B1078,'Currency Table'!$M$3:$N$6,2, FALSE)</f>
        <v>EUR</v>
      </c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</row>
    <row r="1079" ht="15.75" hidden="1" customHeight="1">
      <c r="A1079" s="3" t="s">
        <v>321</v>
      </c>
      <c r="B1079" s="3" t="s">
        <v>244</v>
      </c>
      <c r="C1079" s="3" t="s">
        <v>246</v>
      </c>
      <c r="D1079" s="4">
        <v>45684.0</v>
      </c>
      <c r="E1079" s="3">
        <v>21.0</v>
      </c>
      <c r="F1079" s="5">
        <v>3.0</v>
      </c>
      <c r="G1079" s="3">
        <v>477.0</v>
      </c>
      <c r="H1079" s="3" t="str">
        <f>VLOOKUP(B1079,'Currency Table'!$M$3:$N$6,2, FALSE)</f>
        <v>EUR</v>
      </c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</row>
    <row r="1080" ht="15.75" hidden="1" customHeight="1">
      <c r="A1080" s="3" t="s">
        <v>329</v>
      </c>
      <c r="B1080" s="3" t="s">
        <v>330</v>
      </c>
      <c r="C1080" s="3" t="s">
        <v>331</v>
      </c>
      <c r="D1080" s="4">
        <v>45663.0</v>
      </c>
      <c r="E1080" s="3">
        <v>18.0</v>
      </c>
      <c r="F1080" s="5">
        <v>0.0</v>
      </c>
      <c r="G1080" s="3">
        <v>397.0</v>
      </c>
      <c r="H1080" s="3" t="str">
        <f>VLOOKUP(B1080,'Currency Table'!$M$3:$N$6,2, FALSE)</f>
        <v>EUR</v>
      </c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</row>
    <row r="1081" ht="15.75" hidden="1" customHeight="1">
      <c r="A1081" s="3" t="s">
        <v>332</v>
      </c>
      <c r="B1081" s="3" t="s">
        <v>330</v>
      </c>
      <c r="C1081" s="3" t="s">
        <v>333</v>
      </c>
      <c r="D1081" s="4">
        <v>45663.0</v>
      </c>
      <c r="E1081" s="3">
        <v>49.0</v>
      </c>
      <c r="F1081" s="5">
        <v>5.0</v>
      </c>
      <c r="G1081" s="3">
        <v>826.0</v>
      </c>
      <c r="H1081" s="3" t="str">
        <f>VLOOKUP(B1081,'Currency Table'!$M$3:$N$6,2, FALSE)</f>
        <v>EUR</v>
      </c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</row>
    <row r="1082" ht="15.75" hidden="1" customHeight="1">
      <c r="A1082" s="3" t="s">
        <v>334</v>
      </c>
      <c r="B1082" s="3" t="s">
        <v>330</v>
      </c>
      <c r="C1082" s="3" t="s">
        <v>335</v>
      </c>
      <c r="D1082" s="4">
        <v>45663.0</v>
      </c>
      <c r="E1082" s="3">
        <v>23.0</v>
      </c>
      <c r="F1082" s="5">
        <v>5.0</v>
      </c>
      <c r="G1082" s="3">
        <v>491.0</v>
      </c>
      <c r="H1082" s="3" t="str">
        <f>VLOOKUP(B1082,'Currency Table'!$M$3:$N$6,2, FALSE)</f>
        <v>EUR</v>
      </c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</row>
    <row r="1083" ht="15.75" hidden="1" customHeight="1">
      <c r="A1083" s="3" t="s">
        <v>336</v>
      </c>
      <c r="B1083" s="3" t="s">
        <v>330</v>
      </c>
      <c r="C1083" s="3" t="s">
        <v>331</v>
      </c>
      <c r="D1083" s="4">
        <v>45663.0</v>
      </c>
      <c r="E1083" s="3">
        <v>43.0</v>
      </c>
      <c r="F1083" s="5">
        <v>1.0</v>
      </c>
      <c r="G1083" s="3">
        <v>612.0</v>
      </c>
      <c r="H1083" s="3" t="str">
        <f>VLOOKUP(B1083,'Currency Table'!$M$3:$N$6,2, FALSE)</f>
        <v>EUR</v>
      </c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</row>
    <row r="1084" ht="15.75" hidden="1" customHeight="1">
      <c r="A1084" s="3" t="s">
        <v>337</v>
      </c>
      <c r="B1084" s="3" t="s">
        <v>330</v>
      </c>
      <c r="C1084" s="3" t="s">
        <v>338</v>
      </c>
      <c r="D1084" s="4">
        <v>45663.0</v>
      </c>
      <c r="E1084" s="3">
        <v>33.0</v>
      </c>
      <c r="F1084" s="5">
        <v>4.0</v>
      </c>
      <c r="G1084" s="3">
        <v>533.0</v>
      </c>
      <c r="H1084" s="3" t="str">
        <f>VLOOKUP(B1084,'Currency Table'!$M$3:$N$6,2, FALSE)</f>
        <v>EUR</v>
      </c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</row>
    <row r="1085" ht="15.75" hidden="1" customHeight="1">
      <c r="A1085" s="3" t="s">
        <v>339</v>
      </c>
      <c r="B1085" s="3" t="s">
        <v>330</v>
      </c>
      <c r="C1085" s="3" t="s">
        <v>340</v>
      </c>
      <c r="D1085" s="4">
        <v>45663.0</v>
      </c>
      <c r="E1085" s="3">
        <v>67.0</v>
      </c>
      <c r="F1085" s="5">
        <v>4.0</v>
      </c>
      <c r="G1085" s="3">
        <v>1036.0</v>
      </c>
      <c r="H1085" s="3" t="str">
        <f>VLOOKUP(B1085,'Currency Table'!$M$3:$N$6,2, FALSE)</f>
        <v>EUR</v>
      </c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</row>
    <row r="1086" ht="15.75" hidden="1" customHeight="1">
      <c r="A1086" s="3" t="s">
        <v>341</v>
      </c>
      <c r="B1086" s="3" t="s">
        <v>330</v>
      </c>
      <c r="C1086" s="3" t="s">
        <v>340</v>
      </c>
      <c r="D1086" s="4">
        <v>45663.0</v>
      </c>
      <c r="E1086" s="3">
        <v>19.0</v>
      </c>
      <c r="F1086" s="5">
        <v>4.0</v>
      </c>
      <c r="G1086" s="3">
        <v>371.0</v>
      </c>
      <c r="H1086" s="3" t="str">
        <f>VLOOKUP(B1086,'Currency Table'!$M$3:$N$6,2, FALSE)</f>
        <v>EUR</v>
      </c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</row>
    <row r="1087" ht="15.75" hidden="1" customHeight="1">
      <c r="A1087" s="3" t="s">
        <v>342</v>
      </c>
      <c r="B1087" s="3" t="s">
        <v>330</v>
      </c>
      <c r="C1087" s="3" t="s">
        <v>340</v>
      </c>
      <c r="D1087" s="4">
        <v>45663.0</v>
      </c>
      <c r="E1087" s="3">
        <v>65.0</v>
      </c>
      <c r="F1087" s="5">
        <v>4.0</v>
      </c>
      <c r="G1087" s="3">
        <v>1016.0</v>
      </c>
      <c r="H1087" s="3" t="str">
        <f>VLOOKUP(B1087,'Currency Table'!$M$3:$N$6,2, FALSE)</f>
        <v>EUR</v>
      </c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</row>
    <row r="1088" ht="15.75" hidden="1" customHeight="1">
      <c r="A1088" s="3" t="s">
        <v>343</v>
      </c>
      <c r="B1088" s="3" t="s">
        <v>330</v>
      </c>
      <c r="C1088" s="3" t="s">
        <v>338</v>
      </c>
      <c r="D1088" s="4">
        <v>45663.0</v>
      </c>
      <c r="E1088" s="3">
        <v>20.0</v>
      </c>
      <c r="F1088" s="5">
        <v>5.0</v>
      </c>
      <c r="G1088" s="3">
        <v>368.0</v>
      </c>
      <c r="H1088" s="3" t="str">
        <f>VLOOKUP(B1088,'Currency Table'!$M$3:$N$6,2, FALSE)</f>
        <v>EUR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</row>
    <row r="1089" ht="15.75" hidden="1" customHeight="1">
      <c r="A1089" s="3" t="s">
        <v>344</v>
      </c>
      <c r="B1089" s="3" t="s">
        <v>330</v>
      </c>
      <c r="C1089" s="3" t="s">
        <v>331</v>
      </c>
      <c r="D1089" s="4">
        <v>45663.0</v>
      </c>
      <c r="E1089" s="3">
        <v>22.0</v>
      </c>
      <c r="F1089" s="5">
        <v>1.0</v>
      </c>
      <c r="G1089" s="3">
        <v>367.0</v>
      </c>
      <c r="H1089" s="3" t="str">
        <f>VLOOKUP(B1089,'Currency Table'!$M$3:$N$6,2, FALSE)</f>
        <v>EUR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</row>
    <row r="1090" ht="15.75" hidden="1" customHeight="1">
      <c r="A1090" s="3" t="s">
        <v>345</v>
      </c>
      <c r="B1090" s="3" t="s">
        <v>330</v>
      </c>
      <c r="C1090" s="3" t="s">
        <v>340</v>
      </c>
      <c r="D1090" s="4">
        <v>45663.0</v>
      </c>
      <c r="E1090" s="3">
        <v>56.0</v>
      </c>
      <c r="F1090" s="5">
        <v>0.0</v>
      </c>
      <c r="G1090" s="3">
        <v>895.0</v>
      </c>
      <c r="H1090" s="3" t="str">
        <f>VLOOKUP(B1090,'Currency Table'!$M$3:$N$6,2, FALSE)</f>
        <v>EUR</v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</row>
    <row r="1091" ht="15.75" hidden="1" customHeight="1">
      <c r="A1091" s="3" t="s">
        <v>346</v>
      </c>
      <c r="B1091" s="3" t="s">
        <v>330</v>
      </c>
      <c r="C1091" s="3" t="s">
        <v>347</v>
      </c>
      <c r="D1091" s="4">
        <v>45663.0</v>
      </c>
      <c r="E1091" s="3">
        <v>66.0</v>
      </c>
      <c r="F1091" s="5">
        <v>5.0</v>
      </c>
      <c r="G1091" s="3">
        <v>907.0</v>
      </c>
      <c r="H1091" s="3" t="str">
        <f>VLOOKUP(B1091,'Currency Table'!$M$3:$N$6,2, FALSE)</f>
        <v>EUR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</row>
    <row r="1092" ht="15.75" hidden="1" customHeight="1">
      <c r="A1092" s="3" t="s">
        <v>348</v>
      </c>
      <c r="B1092" s="3" t="s">
        <v>330</v>
      </c>
      <c r="C1092" s="3" t="s">
        <v>333</v>
      </c>
      <c r="D1092" s="4">
        <v>45663.0</v>
      </c>
      <c r="E1092" s="3">
        <v>36.0</v>
      </c>
      <c r="F1092" s="5">
        <v>1.0</v>
      </c>
      <c r="G1092" s="3">
        <v>665.0</v>
      </c>
      <c r="H1092" s="3" t="str">
        <f>VLOOKUP(B1092,'Currency Table'!$M$3:$N$6,2, FALSE)</f>
        <v>EUR</v>
      </c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</row>
    <row r="1093" ht="15.75" hidden="1" customHeight="1">
      <c r="A1093" s="3" t="s">
        <v>349</v>
      </c>
      <c r="B1093" s="3" t="s">
        <v>330</v>
      </c>
      <c r="C1093" s="3" t="s">
        <v>347</v>
      </c>
      <c r="D1093" s="4">
        <v>45663.0</v>
      </c>
      <c r="E1093" s="3">
        <v>48.0</v>
      </c>
      <c r="F1093" s="5">
        <v>1.0</v>
      </c>
      <c r="G1093" s="3">
        <v>873.0</v>
      </c>
      <c r="H1093" s="3" t="str">
        <f>VLOOKUP(B1093,'Currency Table'!$M$3:$N$6,2, FALSE)</f>
        <v>EUR</v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</row>
    <row r="1094" ht="15.75" hidden="1" customHeight="1">
      <c r="A1094" s="3" t="s">
        <v>350</v>
      </c>
      <c r="B1094" s="3" t="s">
        <v>330</v>
      </c>
      <c r="C1094" s="3" t="s">
        <v>335</v>
      </c>
      <c r="D1094" s="4">
        <v>45663.0</v>
      </c>
      <c r="E1094" s="3">
        <v>38.0</v>
      </c>
      <c r="F1094" s="5">
        <v>5.0</v>
      </c>
      <c r="G1094" s="3">
        <v>651.0</v>
      </c>
      <c r="H1094" s="3" t="str">
        <f>VLOOKUP(B1094,'Currency Table'!$M$3:$N$6,2, FALSE)</f>
        <v>EUR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</row>
    <row r="1095" ht="15.75" hidden="1" customHeight="1">
      <c r="A1095" s="3" t="s">
        <v>351</v>
      </c>
      <c r="B1095" s="3" t="s">
        <v>330</v>
      </c>
      <c r="C1095" s="3" t="s">
        <v>352</v>
      </c>
      <c r="D1095" s="4">
        <v>45663.0</v>
      </c>
      <c r="E1095" s="3">
        <v>60.0</v>
      </c>
      <c r="F1095" s="5">
        <v>0.0</v>
      </c>
      <c r="G1095" s="3">
        <v>741.0</v>
      </c>
      <c r="H1095" s="3" t="str">
        <f>VLOOKUP(B1095,'Currency Table'!$M$3:$N$6,2, FALSE)</f>
        <v>EUR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</row>
    <row r="1096" ht="15.75" hidden="1" customHeight="1">
      <c r="A1096" s="3" t="s">
        <v>353</v>
      </c>
      <c r="B1096" s="3" t="s">
        <v>330</v>
      </c>
      <c r="C1096" s="3" t="s">
        <v>347</v>
      </c>
      <c r="D1096" s="4">
        <v>45663.0</v>
      </c>
      <c r="E1096" s="3">
        <v>19.0</v>
      </c>
      <c r="F1096" s="5">
        <v>6.0</v>
      </c>
      <c r="G1096" s="3">
        <v>400.0</v>
      </c>
      <c r="H1096" s="3" t="str">
        <f>VLOOKUP(B1096,'Currency Table'!$M$3:$N$6,2, FALSE)</f>
        <v>EUR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</row>
    <row r="1097" ht="15.75" hidden="1" customHeight="1">
      <c r="A1097" s="3" t="s">
        <v>354</v>
      </c>
      <c r="B1097" s="3" t="s">
        <v>330</v>
      </c>
      <c r="C1097" s="3" t="s">
        <v>335</v>
      </c>
      <c r="D1097" s="4">
        <v>45663.0</v>
      </c>
      <c r="E1097" s="3">
        <v>61.0</v>
      </c>
      <c r="F1097" s="5">
        <v>1.0</v>
      </c>
      <c r="G1097" s="3">
        <v>1008.0</v>
      </c>
      <c r="H1097" s="3" t="str">
        <f>VLOOKUP(B1097,'Currency Table'!$M$3:$N$6,2, FALSE)</f>
        <v>EUR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</row>
    <row r="1098" ht="15.75" hidden="1" customHeight="1">
      <c r="A1098" s="3" t="s">
        <v>355</v>
      </c>
      <c r="B1098" s="3" t="s">
        <v>330</v>
      </c>
      <c r="C1098" s="3" t="s">
        <v>333</v>
      </c>
      <c r="D1098" s="4">
        <v>45663.0</v>
      </c>
      <c r="E1098" s="3">
        <v>12.0</v>
      </c>
      <c r="F1098" s="5">
        <v>4.0</v>
      </c>
      <c r="G1098" s="3">
        <v>249.0</v>
      </c>
      <c r="H1098" s="3" t="str">
        <f>VLOOKUP(B1098,'Currency Table'!$M$3:$N$6,2, FALSE)</f>
        <v>EUR</v>
      </c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</row>
    <row r="1099" ht="15.75" hidden="1" customHeight="1">
      <c r="A1099" s="3" t="s">
        <v>356</v>
      </c>
      <c r="B1099" s="3" t="s">
        <v>330</v>
      </c>
      <c r="C1099" s="3" t="s">
        <v>333</v>
      </c>
      <c r="D1099" s="4">
        <v>45663.0</v>
      </c>
      <c r="E1099" s="3">
        <v>50.0</v>
      </c>
      <c r="F1099" s="5">
        <v>4.0</v>
      </c>
      <c r="G1099" s="3">
        <v>790.0</v>
      </c>
      <c r="H1099" s="3" t="str">
        <f>VLOOKUP(B1099,'Currency Table'!$M$3:$N$6,2, FALSE)</f>
        <v>EUR</v>
      </c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</row>
    <row r="1100" ht="15.75" hidden="1" customHeight="1">
      <c r="A1100" s="3" t="s">
        <v>357</v>
      </c>
      <c r="B1100" s="3" t="s">
        <v>330</v>
      </c>
      <c r="C1100" s="3" t="s">
        <v>347</v>
      </c>
      <c r="D1100" s="4">
        <v>45663.0</v>
      </c>
      <c r="E1100" s="3">
        <v>37.0</v>
      </c>
      <c r="F1100" s="5">
        <v>1.0</v>
      </c>
      <c r="G1100" s="3">
        <v>536.0</v>
      </c>
      <c r="H1100" s="3" t="str">
        <f>VLOOKUP(B1100,'Currency Table'!$M$3:$N$6,2, FALSE)</f>
        <v>EUR</v>
      </c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</row>
    <row r="1101" ht="15.75" hidden="1" customHeight="1">
      <c r="A1101" s="3" t="s">
        <v>358</v>
      </c>
      <c r="B1101" s="3" t="s">
        <v>330</v>
      </c>
      <c r="C1101" s="3" t="s">
        <v>331</v>
      </c>
      <c r="D1101" s="4">
        <v>45663.0</v>
      </c>
      <c r="E1101" s="3">
        <v>37.0</v>
      </c>
      <c r="F1101" s="5">
        <v>5.0</v>
      </c>
      <c r="G1101" s="3">
        <v>638.0</v>
      </c>
      <c r="H1101" s="3" t="str">
        <f>VLOOKUP(B1101,'Currency Table'!$M$3:$N$6,2, FALSE)</f>
        <v>EUR</v>
      </c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</row>
    <row r="1102" ht="15.75" hidden="1" customHeight="1">
      <c r="A1102" s="3" t="s">
        <v>359</v>
      </c>
      <c r="B1102" s="3" t="s">
        <v>330</v>
      </c>
      <c r="C1102" s="3" t="s">
        <v>333</v>
      </c>
      <c r="D1102" s="4">
        <v>45663.0</v>
      </c>
      <c r="E1102" s="3">
        <v>51.0</v>
      </c>
      <c r="F1102" s="5">
        <v>3.0</v>
      </c>
      <c r="G1102" s="3">
        <v>831.0</v>
      </c>
      <c r="H1102" s="3" t="str">
        <f>VLOOKUP(B1102,'Currency Table'!$M$3:$N$6,2, FALSE)</f>
        <v>EUR</v>
      </c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</row>
    <row r="1103" ht="15.75" hidden="1" customHeight="1">
      <c r="A1103" s="3" t="s">
        <v>360</v>
      </c>
      <c r="B1103" s="3" t="s">
        <v>330</v>
      </c>
      <c r="C1103" s="3" t="s">
        <v>347</v>
      </c>
      <c r="D1103" s="4">
        <v>45663.0</v>
      </c>
      <c r="E1103" s="3">
        <v>68.0</v>
      </c>
      <c r="F1103" s="5">
        <v>0.0</v>
      </c>
      <c r="G1103" s="3">
        <v>997.0</v>
      </c>
      <c r="H1103" s="3" t="str">
        <f>VLOOKUP(B1103,'Currency Table'!$M$3:$N$6,2, FALSE)</f>
        <v>EUR</v>
      </c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</row>
    <row r="1104" ht="15.75" hidden="1" customHeight="1">
      <c r="A1104" s="3" t="s">
        <v>361</v>
      </c>
      <c r="B1104" s="3" t="s">
        <v>330</v>
      </c>
      <c r="C1104" s="3" t="s">
        <v>331</v>
      </c>
      <c r="D1104" s="4">
        <v>45663.0</v>
      </c>
      <c r="E1104" s="3">
        <v>28.0</v>
      </c>
      <c r="F1104" s="5">
        <v>4.0</v>
      </c>
      <c r="G1104" s="3">
        <v>408.0</v>
      </c>
      <c r="H1104" s="3" t="str">
        <f>VLOOKUP(B1104,'Currency Table'!$M$3:$N$6,2, FALSE)</f>
        <v>EUR</v>
      </c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</row>
    <row r="1105" ht="15.75" hidden="1" customHeight="1">
      <c r="A1105" s="3" t="s">
        <v>362</v>
      </c>
      <c r="B1105" s="3" t="s">
        <v>330</v>
      </c>
      <c r="C1105" s="3" t="s">
        <v>333</v>
      </c>
      <c r="D1105" s="4">
        <v>45663.0</v>
      </c>
      <c r="E1105" s="3">
        <v>55.0</v>
      </c>
      <c r="F1105" s="5">
        <v>5.0</v>
      </c>
      <c r="G1105" s="3">
        <v>741.0</v>
      </c>
      <c r="H1105" s="3" t="str">
        <f>VLOOKUP(B1105,'Currency Table'!$M$3:$N$6,2, FALSE)</f>
        <v>EUR</v>
      </c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</row>
    <row r="1106" ht="15.75" hidden="1" customHeight="1">
      <c r="A1106" s="3" t="s">
        <v>363</v>
      </c>
      <c r="B1106" s="3" t="s">
        <v>330</v>
      </c>
      <c r="C1106" s="3" t="s">
        <v>335</v>
      </c>
      <c r="D1106" s="4">
        <v>45663.0</v>
      </c>
      <c r="E1106" s="3">
        <v>51.0</v>
      </c>
      <c r="F1106" s="5">
        <v>1.0</v>
      </c>
      <c r="G1106" s="3">
        <v>830.0</v>
      </c>
      <c r="H1106" s="3" t="str">
        <f>VLOOKUP(B1106,'Currency Table'!$M$3:$N$6,2, FALSE)</f>
        <v>EUR</v>
      </c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</row>
    <row r="1107" ht="15.75" hidden="1" customHeight="1">
      <c r="A1107" s="3" t="s">
        <v>364</v>
      </c>
      <c r="B1107" s="3" t="s">
        <v>330</v>
      </c>
      <c r="C1107" s="3" t="s">
        <v>338</v>
      </c>
      <c r="D1107" s="4">
        <v>45663.0</v>
      </c>
      <c r="E1107" s="3">
        <v>43.0</v>
      </c>
      <c r="F1107" s="5">
        <v>5.0</v>
      </c>
      <c r="G1107" s="3">
        <v>578.0</v>
      </c>
      <c r="H1107" s="3" t="str">
        <f>VLOOKUP(B1107,'Currency Table'!$M$3:$N$6,2, FALSE)</f>
        <v>EUR</v>
      </c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</row>
    <row r="1108" ht="15.75" hidden="1" customHeight="1">
      <c r="A1108" s="3" t="s">
        <v>365</v>
      </c>
      <c r="B1108" s="3" t="s">
        <v>330</v>
      </c>
      <c r="C1108" s="3" t="s">
        <v>331</v>
      </c>
      <c r="D1108" s="4">
        <v>45663.0</v>
      </c>
      <c r="E1108" s="3">
        <v>23.0</v>
      </c>
      <c r="F1108" s="5">
        <v>1.0</v>
      </c>
      <c r="G1108" s="3">
        <v>385.0</v>
      </c>
      <c r="H1108" s="3" t="str">
        <f>VLOOKUP(B1108,'Currency Table'!$M$3:$N$6,2, FALSE)</f>
        <v>EUR</v>
      </c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</row>
    <row r="1109" ht="15.75" hidden="1" customHeight="1">
      <c r="A1109" s="3" t="s">
        <v>366</v>
      </c>
      <c r="B1109" s="3" t="s">
        <v>330</v>
      </c>
      <c r="C1109" s="3" t="s">
        <v>338</v>
      </c>
      <c r="D1109" s="4">
        <v>45663.0</v>
      </c>
      <c r="E1109" s="3">
        <v>32.0</v>
      </c>
      <c r="F1109" s="5">
        <v>4.0</v>
      </c>
      <c r="G1109" s="3">
        <v>682.0</v>
      </c>
      <c r="H1109" s="3" t="str">
        <f>VLOOKUP(B1109,'Currency Table'!$M$3:$N$6,2, FALSE)</f>
        <v>EUR</v>
      </c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</row>
    <row r="1110" ht="15.75" hidden="1" customHeight="1">
      <c r="A1110" s="3" t="s">
        <v>367</v>
      </c>
      <c r="B1110" s="3" t="s">
        <v>330</v>
      </c>
      <c r="C1110" s="3" t="s">
        <v>331</v>
      </c>
      <c r="D1110" s="4">
        <v>45663.0</v>
      </c>
      <c r="E1110" s="3">
        <v>27.0</v>
      </c>
      <c r="F1110" s="5">
        <v>0.0</v>
      </c>
      <c r="G1110" s="3">
        <v>351.0</v>
      </c>
      <c r="H1110" s="3" t="str">
        <f>VLOOKUP(B1110,'Currency Table'!$M$3:$N$6,2, FALSE)</f>
        <v>EUR</v>
      </c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</row>
    <row r="1111" ht="15.75" hidden="1" customHeight="1">
      <c r="A1111" s="3" t="s">
        <v>368</v>
      </c>
      <c r="B1111" s="3" t="s">
        <v>330</v>
      </c>
      <c r="C1111" s="3" t="s">
        <v>352</v>
      </c>
      <c r="D1111" s="4">
        <v>45663.0</v>
      </c>
      <c r="E1111" s="3">
        <v>50.0</v>
      </c>
      <c r="F1111" s="5">
        <v>3.0</v>
      </c>
      <c r="G1111" s="3">
        <v>851.0</v>
      </c>
      <c r="H1111" s="3" t="str">
        <f>VLOOKUP(B1111,'Currency Table'!$M$3:$N$6,2, FALSE)</f>
        <v>EUR</v>
      </c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</row>
    <row r="1112" ht="15.75" hidden="1" customHeight="1">
      <c r="A1112" s="3" t="s">
        <v>369</v>
      </c>
      <c r="B1112" s="3" t="s">
        <v>330</v>
      </c>
      <c r="C1112" s="3" t="s">
        <v>333</v>
      </c>
      <c r="D1112" s="4">
        <v>45663.0</v>
      </c>
      <c r="E1112" s="3">
        <v>56.0</v>
      </c>
      <c r="F1112" s="5">
        <v>0.0</v>
      </c>
      <c r="G1112" s="3">
        <v>777.0</v>
      </c>
      <c r="H1112" s="3" t="str">
        <f>VLOOKUP(B1112,'Currency Table'!$M$3:$N$6,2, FALSE)</f>
        <v>EUR</v>
      </c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</row>
    <row r="1113" ht="15.75" hidden="1" customHeight="1">
      <c r="A1113" s="3" t="s">
        <v>370</v>
      </c>
      <c r="B1113" s="3" t="s">
        <v>330</v>
      </c>
      <c r="C1113" s="3" t="s">
        <v>335</v>
      </c>
      <c r="D1113" s="4">
        <v>45663.0</v>
      </c>
      <c r="E1113" s="3">
        <v>63.0</v>
      </c>
      <c r="F1113" s="5">
        <v>0.0</v>
      </c>
      <c r="G1113" s="3">
        <v>971.0</v>
      </c>
      <c r="H1113" s="3" t="str">
        <f>VLOOKUP(B1113,'Currency Table'!$M$3:$N$6,2, FALSE)</f>
        <v>EUR</v>
      </c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</row>
    <row r="1114" ht="15.75" hidden="1" customHeight="1">
      <c r="A1114" s="3" t="s">
        <v>371</v>
      </c>
      <c r="B1114" s="3" t="s">
        <v>330</v>
      </c>
      <c r="C1114" s="3" t="s">
        <v>347</v>
      </c>
      <c r="D1114" s="4">
        <v>45663.0</v>
      </c>
      <c r="E1114" s="3">
        <v>30.0</v>
      </c>
      <c r="F1114" s="5">
        <v>1.0</v>
      </c>
      <c r="G1114" s="3">
        <v>250.0</v>
      </c>
      <c r="H1114" s="3" t="str">
        <f>VLOOKUP(B1114,'Currency Table'!$M$3:$N$6,2, FALSE)</f>
        <v>EUR</v>
      </c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</row>
    <row r="1115" ht="15.75" hidden="1" customHeight="1">
      <c r="A1115" s="3" t="s">
        <v>372</v>
      </c>
      <c r="B1115" s="3" t="s">
        <v>330</v>
      </c>
      <c r="C1115" s="3" t="s">
        <v>340</v>
      </c>
      <c r="D1115" s="4">
        <v>45663.0</v>
      </c>
      <c r="E1115" s="3">
        <v>15.0</v>
      </c>
      <c r="F1115" s="5">
        <v>4.0</v>
      </c>
      <c r="G1115" s="3">
        <v>170.0</v>
      </c>
      <c r="H1115" s="3" t="str">
        <f>VLOOKUP(B1115,'Currency Table'!$M$3:$N$6,2, FALSE)</f>
        <v>EUR</v>
      </c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</row>
    <row r="1116" ht="15.75" hidden="1" customHeight="1">
      <c r="A1116" s="3" t="s">
        <v>373</v>
      </c>
      <c r="B1116" s="3" t="s">
        <v>330</v>
      </c>
      <c r="C1116" s="3" t="s">
        <v>340</v>
      </c>
      <c r="D1116" s="4">
        <v>45663.0</v>
      </c>
      <c r="E1116" s="3">
        <v>20.0</v>
      </c>
      <c r="F1116" s="5">
        <v>3.0</v>
      </c>
      <c r="G1116" s="3">
        <v>353.0</v>
      </c>
      <c r="H1116" s="3" t="str">
        <f>VLOOKUP(B1116,'Currency Table'!$M$3:$N$6,2, FALSE)</f>
        <v>EUR</v>
      </c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</row>
    <row r="1117" ht="15.75" hidden="1" customHeight="1">
      <c r="A1117" s="3" t="s">
        <v>374</v>
      </c>
      <c r="B1117" s="3" t="s">
        <v>330</v>
      </c>
      <c r="C1117" s="3" t="s">
        <v>340</v>
      </c>
      <c r="D1117" s="4">
        <v>45663.0</v>
      </c>
      <c r="E1117" s="3">
        <v>44.0</v>
      </c>
      <c r="F1117" s="5">
        <v>2.0</v>
      </c>
      <c r="G1117" s="3">
        <v>563.0</v>
      </c>
      <c r="H1117" s="3" t="str">
        <f>VLOOKUP(B1117,'Currency Table'!$M$3:$N$6,2, FALSE)</f>
        <v>EUR</v>
      </c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</row>
    <row r="1118" ht="15.75" hidden="1" customHeight="1">
      <c r="A1118" s="3" t="s">
        <v>375</v>
      </c>
      <c r="B1118" s="3" t="s">
        <v>330</v>
      </c>
      <c r="C1118" s="3" t="s">
        <v>338</v>
      </c>
      <c r="D1118" s="4">
        <v>45663.0</v>
      </c>
      <c r="E1118" s="3">
        <v>24.0</v>
      </c>
      <c r="F1118" s="5">
        <v>2.0</v>
      </c>
      <c r="G1118" s="3">
        <v>408.0</v>
      </c>
      <c r="H1118" s="3" t="str">
        <f>VLOOKUP(B1118,'Currency Table'!$M$3:$N$6,2, FALSE)</f>
        <v>EUR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</row>
    <row r="1119" ht="15.75" hidden="1" customHeight="1">
      <c r="A1119" s="3" t="s">
        <v>376</v>
      </c>
      <c r="B1119" s="3" t="s">
        <v>330</v>
      </c>
      <c r="C1119" s="3" t="s">
        <v>333</v>
      </c>
      <c r="D1119" s="4">
        <v>45663.0</v>
      </c>
      <c r="E1119" s="3">
        <v>59.0</v>
      </c>
      <c r="F1119" s="5">
        <v>1.0</v>
      </c>
      <c r="G1119" s="3">
        <v>866.0</v>
      </c>
      <c r="H1119" s="3" t="str">
        <f>VLOOKUP(B1119,'Currency Table'!$M$3:$N$6,2, FALSE)</f>
        <v>EUR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</row>
    <row r="1120" ht="15.75" hidden="1" customHeight="1">
      <c r="A1120" s="3" t="s">
        <v>377</v>
      </c>
      <c r="B1120" s="3" t="s">
        <v>330</v>
      </c>
      <c r="C1120" s="3" t="s">
        <v>331</v>
      </c>
      <c r="D1120" s="4">
        <v>45663.0</v>
      </c>
      <c r="E1120" s="3">
        <v>23.0</v>
      </c>
      <c r="F1120" s="5">
        <v>3.0</v>
      </c>
      <c r="G1120" s="3">
        <v>361.0</v>
      </c>
      <c r="H1120" s="3" t="str">
        <f>VLOOKUP(B1120,'Currency Table'!$M$3:$N$6,2, FALSE)</f>
        <v>EUR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</row>
    <row r="1121" ht="15.75" hidden="1" customHeight="1">
      <c r="A1121" s="3" t="s">
        <v>378</v>
      </c>
      <c r="B1121" s="3" t="s">
        <v>330</v>
      </c>
      <c r="C1121" s="3" t="s">
        <v>333</v>
      </c>
      <c r="D1121" s="4">
        <v>45663.0</v>
      </c>
      <c r="E1121" s="3">
        <v>16.0</v>
      </c>
      <c r="F1121" s="5">
        <v>4.0</v>
      </c>
      <c r="G1121" s="3">
        <v>258.0</v>
      </c>
      <c r="H1121" s="3" t="str">
        <f>VLOOKUP(B1121,'Currency Table'!$M$3:$N$6,2, FALSE)</f>
        <v>EUR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</row>
    <row r="1122" ht="15.75" hidden="1" customHeight="1">
      <c r="A1122" s="3" t="s">
        <v>379</v>
      </c>
      <c r="B1122" s="3" t="s">
        <v>330</v>
      </c>
      <c r="C1122" s="3" t="s">
        <v>333</v>
      </c>
      <c r="D1122" s="4">
        <v>45663.0</v>
      </c>
      <c r="E1122" s="3">
        <v>44.0</v>
      </c>
      <c r="F1122" s="5">
        <v>0.0</v>
      </c>
      <c r="G1122" s="3">
        <v>544.0</v>
      </c>
      <c r="H1122" s="3" t="str">
        <f>VLOOKUP(B1122,'Currency Table'!$M$3:$N$6,2, FALSE)</f>
        <v>EUR</v>
      </c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</row>
    <row r="1123" ht="15.75" hidden="1" customHeight="1">
      <c r="A1123" s="3" t="s">
        <v>380</v>
      </c>
      <c r="B1123" s="3" t="s">
        <v>330</v>
      </c>
      <c r="C1123" s="3" t="s">
        <v>331</v>
      </c>
      <c r="D1123" s="4">
        <v>45663.0</v>
      </c>
      <c r="E1123" s="3">
        <v>26.0</v>
      </c>
      <c r="F1123" s="5">
        <v>4.0</v>
      </c>
      <c r="G1123" s="3">
        <v>428.0</v>
      </c>
      <c r="H1123" s="3" t="str">
        <f>VLOOKUP(B1123,'Currency Table'!$M$3:$N$6,2, FALSE)</f>
        <v>EUR</v>
      </c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</row>
    <row r="1124" ht="15.75" hidden="1" customHeight="1">
      <c r="A1124" s="3" t="s">
        <v>381</v>
      </c>
      <c r="B1124" s="3" t="s">
        <v>330</v>
      </c>
      <c r="C1124" s="3" t="s">
        <v>333</v>
      </c>
      <c r="D1124" s="4">
        <v>45663.0</v>
      </c>
      <c r="E1124" s="3">
        <v>42.0</v>
      </c>
      <c r="F1124" s="5">
        <v>0.0</v>
      </c>
      <c r="G1124" s="3">
        <v>686.0</v>
      </c>
      <c r="H1124" s="3" t="str">
        <f>VLOOKUP(B1124,'Currency Table'!$M$3:$N$6,2, FALSE)</f>
        <v>EUR</v>
      </c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</row>
    <row r="1125" ht="15.75" hidden="1" customHeight="1">
      <c r="A1125" s="3" t="s">
        <v>382</v>
      </c>
      <c r="B1125" s="3" t="s">
        <v>330</v>
      </c>
      <c r="C1125" s="3" t="s">
        <v>331</v>
      </c>
      <c r="D1125" s="4">
        <v>45663.0</v>
      </c>
      <c r="E1125" s="3">
        <v>12.0</v>
      </c>
      <c r="F1125" s="5">
        <v>2.0</v>
      </c>
      <c r="G1125" s="3">
        <v>180.0</v>
      </c>
      <c r="H1125" s="3" t="str">
        <f>VLOOKUP(B1125,'Currency Table'!$M$3:$N$6,2, FALSE)</f>
        <v>EUR</v>
      </c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</row>
    <row r="1126" ht="15.75" hidden="1" customHeight="1">
      <c r="A1126" s="3" t="s">
        <v>383</v>
      </c>
      <c r="B1126" s="3" t="s">
        <v>330</v>
      </c>
      <c r="C1126" s="3" t="s">
        <v>338</v>
      </c>
      <c r="D1126" s="4">
        <v>45663.0</v>
      </c>
      <c r="E1126" s="3">
        <v>29.0</v>
      </c>
      <c r="F1126" s="5">
        <v>0.0</v>
      </c>
      <c r="G1126" s="3">
        <v>357.0</v>
      </c>
      <c r="H1126" s="3" t="str">
        <f>VLOOKUP(B1126,'Currency Table'!$M$3:$N$6,2, FALSE)</f>
        <v>EUR</v>
      </c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</row>
    <row r="1127" ht="15.75" hidden="1" customHeight="1">
      <c r="A1127" s="3" t="s">
        <v>384</v>
      </c>
      <c r="B1127" s="3" t="s">
        <v>330</v>
      </c>
      <c r="C1127" s="3" t="s">
        <v>347</v>
      </c>
      <c r="D1127" s="4">
        <v>45663.0</v>
      </c>
      <c r="E1127" s="3">
        <v>67.0</v>
      </c>
      <c r="F1127" s="5">
        <v>0.0</v>
      </c>
      <c r="G1127" s="3">
        <v>954.0</v>
      </c>
      <c r="H1127" s="3" t="str">
        <f>VLOOKUP(B1127,'Currency Table'!$M$3:$N$6,2, FALSE)</f>
        <v>EUR</v>
      </c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</row>
    <row r="1128" ht="15.75" hidden="1" customHeight="1">
      <c r="A1128" s="3" t="s">
        <v>385</v>
      </c>
      <c r="B1128" s="3" t="s">
        <v>330</v>
      </c>
      <c r="C1128" s="3" t="s">
        <v>347</v>
      </c>
      <c r="D1128" s="4">
        <v>45663.0</v>
      </c>
      <c r="E1128" s="3">
        <v>18.0</v>
      </c>
      <c r="F1128" s="5">
        <v>2.0</v>
      </c>
      <c r="G1128" s="3">
        <v>466.0</v>
      </c>
      <c r="H1128" s="3" t="str">
        <f>VLOOKUP(B1128,'Currency Table'!$M$3:$N$6,2, FALSE)</f>
        <v>EUR</v>
      </c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</row>
    <row r="1129" ht="15.75" hidden="1" customHeight="1">
      <c r="A1129" s="3" t="s">
        <v>386</v>
      </c>
      <c r="B1129" s="3" t="s">
        <v>330</v>
      </c>
      <c r="C1129" s="3" t="s">
        <v>335</v>
      </c>
      <c r="D1129" s="4">
        <v>45663.0</v>
      </c>
      <c r="E1129" s="3">
        <v>51.0</v>
      </c>
      <c r="F1129" s="5">
        <v>2.0</v>
      </c>
      <c r="G1129" s="3">
        <v>803.0</v>
      </c>
      <c r="H1129" s="3" t="str">
        <f>VLOOKUP(B1129,'Currency Table'!$M$3:$N$6,2, FALSE)</f>
        <v>EUR</v>
      </c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</row>
    <row r="1130" ht="15.75" hidden="1" customHeight="1">
      <c r="A1130" s="3" t="s">
        <v>387</v>
      </c>
      <c r="B1130" s="3" t="s">
        <v>330</v>
      </c>
      <c r="C1130" s="3" t="s">
        <v>331</v>
      </c>
      <c r="D1130" s="4">
        <v>45663.0</v>
      </c>
      <c r="E1130" s="3">
        <v>11.0</v>
      </c>
      <c r="F1130" s="5">
        <v>1.0</v>
      </c>
      <c r="G1130" s="3">
        <v>157.0</v>
      </c>
      <c r="H1130" s="3" t="str">
        <f>VLOOKUP(B1130,'Currency Table'!$M$3:$N$6,2, FALSE)</f>
        <v>EUR</v>
      </c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</row>
    <row r="1131" ht="15.75" hidden="1" customHeight="1">
      <c r="A1131" s="3" t="s">
        <v>388</v>
      </c>
      <c r="B1131" s="3" t="s">
        <v>330</v>
      </c>
      <c r="C1131" s="3" t="s">
        <v>338</v>
      </c>
      <c r="D1131" s="4">
        <v>45663.0</v>
      </c>
      <c r="E1131" s="3">
        <v>39.0</v>
      </c>
      <c r="F1131" s="5">
        <v>2.0</v>
      </c>
      <c r="G1131" s="3">
        <v>613.0</v>
      </c>
      <c r="H1131" s="3" t="str">
        <f>VLOOKUP(B1131,'Currency Table'!$M$3:$N$6,2, FALSE)</f>
        <v>EUR</v>
      </c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</row>
    <row r="1132" ht="15.75" hidden="1" customHeight="1">
      <c r="A1132" s="3" t="s">
        <v>389</v>
      </c>
      <c r="B1132" s="3" t="s">
        <v>330</v>
      </c>
      <c r="C1132" s="3" t="s">
        <v>340</v>
      </c>
      <c r="D1132" s="4">
        <v>45663.0</v>
      </c>
      <c r="E1132" s="3">
        <v>13.0</v>
      </c>
      <c r="F1132" s="5">
        <v>0.0</v>
      </c>
      <c r="G1132" s="3">
        <v>186.0</v>
      </c>
      <c r="H1132" s="3" t="str">
        <f>VLOOKUP(B1132,'Currency Table'!$M$3:$N$6,2, FALSE)</f>
        <v>EUR</v>
      </c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</row>
    <row r="1133" ht="15.75" hidden="1" customHeight="1">
      <c r="A1133" s="3" t="s">
        <v>390</v>
      </c>
      <c r="B1133" s="3" t="s">
        <v>330</v>
      </c>
      <c r="C1133" s="3" t="s">
        <v>331</v>
      </c>
      <c r="D1133" s="4">
        <v>45663.0</v>
      </c>
      <c r="E1133" s="3">
        <v>37.0</v>
      </c>
      <c r="F1133" s="5">
        <v>3.0</v>
      </c>
      <c r="G1133" s="3">
        <v>672.0</v>
      </c>
      <c r="H1133" s="3" t="str">
        <f>VLOOKUP(B1133,'Currency Table'!$M$3:$N$6,2, FALSE)</f>
        <v>EUR</v>
      </c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</row>
    <row r="1134" ht="15.75" hidden="1" customHeight="1">
      <c r="A1134" s="3" t="s">
        <v>391</v>
      </c>
      <c r="B1134" s="3" t="s">
        <v>330</v>
      </c>
      <c r="C1134" s="3" t="s">
        <v>335</v>
      </c>
      <c r="D1134" s="4">
        <v>45663.0</v>
      </c>
      <c r="E1134" s="3">
        <v>64.0</v>
      </c>
      <c r="F1134" s="5">
        <v>2.0</v>
      </c>
      <c r="G1134" s="3">
        <v>1024.0</v>
      </c>
      <c r="H1134" s="3" t="str">
        <f>VLOOKUP(B1134,'Currency Table'!$M$3:$N$6,2, FALSE)</f>
        <v>EUR</v>
      </c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</row>
    <row r="1135" ht="15.75" hidden="1" customHeight="1">
      <c r="A1135" s="3" t="s">
        <v>392</v>
      </c>
      <c r="B1135" s="3" t="s">
        <v>330</v>
      </c>
      <c r="C1135" s="3" t="s">
        <v>347</v>
      </c>
      <c r="D1135" s="4">
        <v>45663.0</v>
      </c>
      <c r="E1135" s="3">
        <v>35.0</v>
      </c>
      <c r="F1135" s="5">
        <v>1.0</v>
      </c>
      <c r="G1135" s="3">
        <v>698.0</v>
      </c>
      <c r="H1135" s="3" t="str">
        <f>VLOOKUP(B1135,'Currency Table'!$M$3:$N$6,2, FALSE)</f>
        <v>EUR</v>
      </c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</row>
    <row r="1136" ht="15.75" hidden="1" customHeight="1">
      <c r="A1136" s="3" t="s">
        <v>393</v>
      </c>
      <c r="B1136" s="3" t="s">
        <v>330</v>
      </c>
      <c r="C1136" s="3" t="s">
        <v>352</v>
      </c>
      <c r="D1136" s="4">
        <v>45663.0</v>
      </c>
      <c r="E1136" s="3">
        <v>70.0</v>
      </c>
      <c r="F1136" s="5">
        <v>0.0</v>
      </c>
      <c r="G1136" s="3">
        <v>1093.0</v>
      </c>
      <c r="H1136" s="3" t="str">
        <f>VLOOKUP(B1136,'Currency Table'!$M$3:$N$6,2, FALSE)</f>
        <v>EUR</v>
      </c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</row>
    <row r="1137" ht="15.75" hidden="1" customHeight="1">
      <c r="A1137" s="3" t="s">
        <v>394</v>
      </c>
      <c r="B1137" s="3" t="s">
        <v>330</v>
      </c>
      <c r="C1137" s="3" t="s">
        <v>352</v>
      </c>
      <c r="D1137" s="4">
        <v>45663.0</v>
      </c>
      <c r="E1137" s="3">
        <v>39.0</v>
      </c>
      <c r="F1137" s="5">
        <v>3.0</v>
      </c>
      <c r="G1137" s="3">
        <v>511.0</v>
      </c>
      <c r="H1137" s="3" t="str">
        <f>VLOOKUP(B1137,'Currency Table'!$M$3:$N$6,2, FALSE)</f>
        <v>EUR</v>
      </c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</row>
    <row r="1138" ht="15.75" hidden="1" customHeight="1">
      <c r="A1138" s="3" t="s">
        <v>395</v>
      </c>
      <c r="B1138" s="3" t="s">
        <v>330</v>
      </c>
      <c r="C1138" s="3" t="s">
        <v>333</v>
      </c>
      <c r="D1138" s="4">
        <v>45663.0</v>
      </c>
      <c r="E1138" s="3">
        <v>36.0</v>
      </c>
      <c r="F1138" s="5">
        <v>3.0</v>
      </c>
      <c r="G1138" s="3">
        <v>680.0</v>
      </c>
      <c r="H1138" s="3" t="str">
        <f>VLOOKUP(B1138,'Currency Table'!$M$3:$N$6,2, FALSE)</f>
        <v>EUR</v>
      </c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</row>
    <row r="1139" ht="15.75" hidden="1" customHeight="1">
      <c r="A1139" s="3" t="s">
        <v>396</v>
      </c>
      <c r="B1139" s="3" t="s">
        <v>330</v>
      </c>
      <c r="C1139" s="3" t="s">
        <v>331</v>
      </c>
      <c r="D1139" s="4">
        <v>45663.0</v>
      </c>
      <c r="E1139" s="3">
        <v>65.0</v>
      </c>
      <c r="F1139" s="5">
        <v>5.0</v>
      </c>
      <c r="G1139" s="3">
        <v>1006.0</v>
      </c>
      <c r="H1139" s="3" t="str">
        <f>VLOOKUP(B1139,'Currency Table'!$M$3:$N$6,2, FALSE)</f>
        <v>EUR</v>
      </c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</row>
    <row r="1140" ht="15.75" hidden="1" customHeight="1">
      <c r="A1140" s="3" t="s">
        <v>397</v>
      </c>
      <c r="B1140" s="3" t="s">
        <v>330</v>
      </c>
      <c r="C1140" s="3" t="s">
        <v>335</v>
      </c>
      <c r="D1140" s="4">
        <v>45663.0</v>
      </c>
      <c r="E1140" s="3">
        <v>27.0</v>
      </c>
      <c r="F1140" s="5">
        <v>0.0</v>
      </c>
      <c r="G1140" s="3">
        <v>289.0</v>
      </c>
      <c r="H1140" s="3" t="str">
        <f>VLOOKUP(B1140,'Currency Table'!$M$3:$N$6,2, FALSE)</f>
        <v>EUR</v>
      </c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</row>
    <row r="1141" ht="15.75" hidden="1" customHeight="1">
      <c r="A1141" s="3" t="s">
        <v>398</v>
      </c>
      <c r="B1141" s="3" t="s">
        <v>330</v>
      </c>
      <c r="C1141" s="3" t="s">
        <v>347</v>
      </c>
      <c r="D1141" s="4">
        <v>45663.0</v>
      </c>
      <c r="E1141" s="3">
        <v>53.0</v>
      </c>
      <c r="F1141" s="5">
        <v>5.0</v>
      </c>
      <c r="G1141" s="3">
        <v>870.0</v>
      </c>
      <c r="H1141" s="3" t="str">
        <f>VLOOKUP(B1141,'Currency Table'!$M$3:$N$6,2, FALSE)</f>
        <v>EUR</v>
      </c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</row>
    <row r="1142" ht="15.75" hidden="1" customHeight="1">
      <c r="A1142" s="3" t="s">
        <v>399</v>
      </c>
      <c r="B1142" s="3" t="s">
        <v>330</v>
      </c>
      <c r="C1142" s="3" t="s">
        <v>347</v>
      </c>
      <c r="D1142" s="4">
        <v>45663.0</v>
      </c>
      <c r="E1142" s="3">
        <v>50.0</v>
      </c>
      <c r="F1142" s="5">
        <v>1.0</v>
      </c>
      <c r="G1142" s="3">
        <v>786.0</v>
      </c>
      <c r="H1142" s="3" t="str">
        <f>VLOOKUP(B1142,'Currency Table'!$M$3:$N$6,2, FALSE)</f>
        <v>EUR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</row>
    <row r="1143" ht="15.75" hidden="1" customHeight="1">
      <c r="A1143" s="3" t="s">
        <v>400</v>
      </c>
      <c r="B1143" s="3" t="s">
        <v>330</v>
      </c>
      <c r="C1143" s="3" t="s">
        <v>352</v>
      </c>
      <c r="D1143" s="4">
        <v>45663.0</v>
      </c>
      <c r="E1143" s="3">
        <v>47.0</v>
      </c>
      <c r="F1143" s="5">
        <v>0.0</v>
      </c>
      <c r="G1143" s="3">
        <v>843.0</v>
      </c>
      <c r="H1143" s="3" t="str">
        <f>VLOOKUP(B1143,'Currency Table'!$M$3:$N$6,2, FALSE)</f>
        <v>EUR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</row>
    <row r="1144" ht="15.75" hidden="1" customHeight="1">
      <c r="A1144" s="3" t="s">
        <v>401</v>
      </c>
      <c r="B1144" s="3" t="s">
        <v>330</v>
      </c>
      <c r="C1144" s="3" t="s">
        <v>335</v>
      </c>
      <c r="D1144" s="4">
        <v>45663.0</v>
      </c>
      <c r="E1144" s="3">
        <v>66.0</v>
      </c>
      <c r="F1144" s="5">
        <v>1.0</v>
      </c>
      <c r="G1144" s="3">
        <v>973.0</v>
      </c>
      <c r="H1144" s="3" t="str">
        <f>VLOOKUP(B1144,'Currency Table'!$M$3:$N$6,2, FALSE)</f>
        <v>EUR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</row>
    <row r="1145" ht="15.75" hidden="1" customHeight="1">
      <c r="A1145" s="3" t="s">
        <v>402</v>
      </c>
      <c r="B1145" s="3" t="s">
        <v>330</v>
      </c>
      <c r="C1145" s="3" t="s">
        <v>333</v>
      </c>
      <c r="D1145" s="4">
        <v>45663.0</v>
      </c>
      <c r="E1145" s="3">
        <v>23.0</v>
      </c>
      <c r="F1145" s="5">
        <v>3.0</v>
      </c>
      <c r="G1145" s="3">
        <v>302.0</v>
      </c>
      <c r="H1145" s="3" t="str">
        <f>VLOOKUP(B1145,'Currency Table'!$M$3:$N$6,2, FALSE)</f>
        <v>EUR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</row>
    <row r="1146" ht="15.75" hidden="1" customHeight="1">
      <c r="A1146" s="3" t="s">
        <v>403</v>
      </c>
      <c r="B1146" s="3" t="s">
        <v>330</v>
      </c>
      <c r="C1146" s="3" t="s">
        <v>347</v>
      </c>
      <c r="D1146" s="4">
        <v>45663.0</v>
      </c>
      <c r="E1146" s="3">
        <v>34.0</v>
      </c>
      <c r="F1146" s="5">
        <v>2.0</v>
      </c>
      <c r="G1146" s="3">
        <v>667.0</v>
      </c>
      <c r="H1146" s="3" t="str">
        <f>VLOOKUP(B1146,'Currency Table'!$M$3:$N$6,2, FALSE)</f>
        <v>EUR</v>
      </c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</row>
    <row r="1147" ht="15.75" hidden="1" customHeight="1">
      <c r="A1147" s="3" t="s">
        <v>404</v>
      </c>
      <c r="B1147" s="3" t="s">
        <v>330</v>
      </c>
      <c r="C1147" s="3" t="s">
        <v>352</v>
      </c>
      <c r="D1147" s="4">
        <v>45663.0</v>
      </c>
      <c r="E1147" s="3">
        <v>26.0</v>
      </c>
      <c r="F1147" s="5">
        <v>3.0</v>
      </c>
      <c r="G1147" s="3">
        <v>481.0</v>
      </c>
      <c r="H1147" s="3" t="str">
        <f>VLOOKUP(B1147,'Currency Table'!$M$3:$N$6,2, FALSE)</f>
        <v>EUR</v>
      </c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</row>
    <row r="1148" ht="15.75" hidden="1" customHeight="1">
      <c r="A1148" s="3" t="s">
        <v>405</v>
      </c>
      <c r="B1148" s="3" t="s">
        <v>330</v>
      </c>
      <c r="C1148" s="3" t="s">
        <v>352</v>
      </c>
      <c r="D1148" s="4">
        <v>45663.0</v>
      </c>
      <c r="E1148" s="3">
        <v>54.0</v>
      </c>
      <c r="F1148" s="5">
        <v>2.0</v>
      </c>
      <c r="G1148" s="3">
        <v>896.0</v>
      </c>
      <c r="H1148" s="3" t="str">
        <f>VLOOKUP(B1148,'Currency Table'!$M$3:$N$6,2, FALSE)</f>
        <v>EUR</v>
      </c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</row>
    <row r="1149" ht="15.75" hidden="1" customHeight="1">
      <c r="A1149" s="3" t="s">
        <v>406</v>
      </c>
      <c r="B1149" s="3" t="s">
        <v>330</v>
      </c>
      <c r="C1149" s="3" t="s">
        <v>331</v>
      </c>
      <c r="D1149" s="4">
        <v>45663.0</v>
      </c>
      <c r="E1149" s="3">
        <v>59.0</v>
      </c>
      <c r="F1149" s="5">
        <v>0.0</v>
      </c>
      <c r="G1149" s="3">
        <v>757.0</v>
      </c>
      <c r="H1149" s="3" t="str">
        <f>VLOOKUP(B1149,'Currency Table'!$M$3:$N$6,2, FALSE)</f>
        <v>EUR</v>
      </c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</row>
    <row r="1150" ht="15.75" hidden="1" customHeight="1">
      <c r="A1150" s="3" t="s">
        <v>407</v>
      </c>
      <c r="B1150" s="3" t="s">
        <v>330</v>
      </c>
      <c r="C1150" s="3" t="s">
        <v>335</v>
      </c>
      <c r="D1150" s="4">
        <v>45663.0</v>
      </c>
      <c r="E1150" s="3">
        <v>64.0</v>
      </c>
      <c r="F1150" s="5">
        <v>5.0</v>
      </c>
      <c r="G1150" s="3">
        <v>977.0</v>
      </c>
      <c r="H1150" s="3" t="str">
        <f>VLOOKUP(B1150,'Currency Table'!$M$3:$N$6,2, FALSE)</f>
        <v>EUR</v>
      </c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</row>
    <row r="1151" ht="15.75" hidden="1" customHeight="1">
      <c r="A1151" s="3" t="s">
        <v>408</v>
      </c>
      <c r="B1151" s="3" t="s">
        <v>330</v>
      </c>
      <c r="C1151" s="3" t="s">
        <v>352</v>
      </c>
      <c r="D1151" s="4">
        <v>45663.0</v>
      </c>
      <c r="E1151" s="3">
        <v>33.0</v>
      </c>
      <c r="F1151" s="5">
        <v>4.0</v>
      </c>
      <c r="G1151" s="3">
        <v>646.0</v>
      </c>
      <c r="H1151" s="3" t="str">
        <f>VLOOKUP(B1151,'Currency Table'!$M$3:$N$6,2, FALSE)</f>
        <v>EUR</v>
      </c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</row>
    <row r="1152" ht="15.75" hidden="1" customHeight="1">
      <c r="A1152" s="3" t="s">
        <v>409</v>
      </c>
      <c r="B1152" s="3" t="s">
        <v>330</v>
      </c>
      <c r="C1152" s="3" t="s">
        <v>347</v>
      </c>
      <c r="D1152" s="4">
        <v>45663.0</v>
      </c>
      <c r="E1152" s="3">
        <v>10.0</v>
      </c>
      <c r="F1152" s="5">
        <v>1.0</v>
      </c>
      <c r="G1152" s="3">
        <v>159.0</v>
      </c>
      <c r="H1152" s="3" t="str">
        <f>VLOOKUP(B1152,'Currency Table'!$M$3:$N$6,2, FALSE)</f>
        <v>EUR</v>
      </c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</row>
    <row r="1153" ht="15.75" hidden="1" customHeight="1">
      <c r="A1153" s="3" t="s">
        <v>410</v>
      </c>
      <c r="B1153" s="3" t="s">
        <v>330</v>
      </c>
      <c r="C1153" s="3" t="s">
        <v>340</v>
      </c>
      <c r="D1153" s="4">
        <v>45663.0</v>
      </c>
      <c r="E1153" s="3">
        <v>33.0</v>
      </c>
      <c r="F1153" s="5">
        <v>2.0</v>
      </c>
      <c r="G1153" s="3">
        <v>635.0</v>
      </c>
      <c r="H1153" s="3" t="str">
        <f>VLOOKUP(B1153,'Currency Table'!$M$3:$N$6,2, FALSE)</f>
        <v>EUR</v>
      </c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</row>
    <row r="1154" ht="15.75" hidden="1" customHeight="1">
      <c r="A1154" s="3" t="s">
        <v>411</v>
      </c>
      <c r="B1154" s="3" t="s">
        <v>330</v>
      </c>
      <c r="C1154" s="3" t="s">
        <v>338</v>
      </c>
      <c r="D1154" s="4">
        <v>45663.0</v>
      </c>
      <c r="E1154" s="3">
        <v>10.0</v>
      </c>
      <c r="F1154" s="5">
        <v>2.0</v>
      </c>
      <c r="G1154" s="3">
        <v>247.0</v>
      </c>
      <c r="H1154" s="3" t="str">
        <f>VLOOKUP(B1154,'Currency Table'!$M$3:$N$6,2, FALSE)</f>
        <v>EUR</v>
      </c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</row>
    <row r="1155" ht="15.75" hidden="1" customHeight="1">
      <c r="A1155" s="3" t="s">
        <v>412</v>
      </c>
      <c r="B1155" s="3" t="s">
        <v>330</v>
      </c>
      <c r="C1155" s="3" t="s">
        <v>340</v>
      </c>
      <c r="D1155" s="4">
        <v>45663.0</v>
      </c>
      <c r="E1155" s="3">
        <v>54.0</v>
      </c>
      <c r="F1155" s="5">
        <v>3.0</v>
      </c>
      <c r="G1155" s="3">
        <v>776.0</v>
      </c>
      <c r="H1155" s="3" t="str">
        <f>VLOOKUP(B1155,'Currency Table'!$M$3:$N$6,2, FALSE)</f>
        <v>EUR</v>
      </c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</row>
    <row r="1156" ht="15.75" hidden="1" customHeight="1">
      <c r="A1156" s="3" t="s">
        <v>413</v>
      </c>
      <c r="B1156" s="3" t="s">
        <v>330</v>
      </c>
      <c r="C1156" s="3" t="s">
        <v>340</v>
      </c>
      <c r="D1156" s="4">
        <v>45663.0</v>
      </c>
      <c r="E1156" s="3">
        <v>28.0</v>
      </c>
      <c r="F1156" s="5">
        <v>3.0</v>
      </c>
      <c r="G1156" s="3">
        <v>414.0</v>
      </c>
      <c r="H1156" s="3" t="str">
        <f>VLOOKUP(B1156,'Currency Table'!$M$3:$N$6,2, FALSE)</f>
        <v>EUR</v>
      </c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</row>
    <row r="1157" ht="15.75" hidden="1" customHeight="1">
      <c r="A1157" s="3" t="s">
        <v>414</v>
      </c>
      <c r="B1157" s="3" t="s">
        <v>330</v>
      </c>
      <c r="C1157" s="3" t="s">
        <v>340</v>
      </c>
      <c r="D1157" s="4">
        <v>45663.0</v>
      </c>
      <c r="E1157" s="3">
        <v>43.0</v>
      </c>
      <c r="F1157" s="5">
        <v>3.0</v>
      </c>
      <c r="G1157" s="3">
        <v>516.0</v>
      </c>
      <c r="H1157" s="3" t="str">
        <f>VLOOKUP(B1157,'Currency Table'!$M$3:$N$6,2, FALSE)</f>
        <v>EUR</v>
      </c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</row>
    <row r="1158" ht="15.75" hidden="1" customHeight="1">
      <c r="A1158" s="3" t="s">
        <v>415</v>
      </c>
      <c r="B1158" s="3" t="s">
        <v>330</v>
      </c>
      <c r="C1158" s="3" t="s">
        <v>340</v>
      </c>
      <c r="D1158" s="4">
        <v>45663.0</v>
      </c>
      <c r="E1158" s="3">
        <v>59.0</v>
      </c>
      <c r="F1158" s="5">
        <v>5.0</v>
      </c>
      <c r="G1158" s="3">
        <v>787.0</v>
      </c>
      <c r="H1158" s="3" t="str">
        <f>VLOOKUP(B1158,'Currency Table'!$M$3:$N$6,2, FALSE)</f>
        <v>EUR</v>
      </c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</row>
    <row r="1159" ht="15.75" hidden="1" customHeight="1">
      <c r="A1159" s="3" t="s">
        <v>416</v>
      </c>
      <c r="B1159" s="3" t="s">
        <v>330</v>
      </c>
      <c r="C1159" s="3" t="s">
        <v>338</v>
      </c>
      <c r="D1159" s="4">
        <v>45663.0</v>
      </c>
      <c r="E1159" s="3">
        <v>44.0</v>
      </c>
      <c r="F1159" s="5">
        <v>3.0</v>
      </c>
      <c r="G1159" s="3">
        <v>524.0</v>
      </c>
      <c r="H1159" s="3" t="str">
        <f>VLOOKUP(B1159,'Currency Table'!$M$3:$N$6,2, FALSE)</f>
        <v>EUR</v>
      </c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</row>
    <row r="1160" ht="15.75" hidden="1" customHeight="1">
      <c r="A1160" s="3" t="s">
        <v>417</v>
      </c>
      <c r="B1160" s="3" t="s">
        <v>330</v>
      </c>
      <c r="C1160" s="3" t="s">
        <v>333</v>
      </c>
      <c r="D1160" s="4">
        <v>45663.0</v>
      </c>
      <c r="E1160" s="3">
        <v>57.0</v>
      </c>
      <c r="F1160" s="5">
        <v>2.0</v>
      </c>
      <c r="G1160" s="3">
        <v>799.0</v>
      </c>
      <c r="H1160" s="3" t="str">
        <f>VLOOKUP(B1160,'Currency Table'!$M$3:$N$6,2, FALSE)</f>
        <v>EUR</v>
      </c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</row>
    <row r="1161" ht="15.75" hidden="1" customHeight="1">
      <c r="A1161" s="3" t="s">
        <v>418</v>
      </c>
      <c r="B1161" s="3" t="s">
        <v>330</v>
      </c>
      <c r="C1161" s="3" t="s">
        <v>340</v>
      </c>
      <c r="D1161" s="4">
        <v>45663.0</v>
      </c>
      <c r="E1161" s="3">
        <v>57.0</v>
      </c>
      <c r="F1161" s="5">
        <v>2.0</v>
      </c>
      <c r="G1161" s="3">
        <v>753.0</v>
      </c>
      <c r="H1161" s="3" t="str">
        <f>VLOOKUP(B1161,'Currency Table'!$M$3:$N$6,2, FALSE)</f>
        <v>EUR</v>
      </c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</row>
    <row r="1162" ht="15.75" hidden="1" customHeight="1">
      <c r="A1162" s="3" t="s">
        <v>419</v>
      </c>
      <c r="B1162" s="3" t="s">
        <v>330</v>
      </c>
      <c r="C1162" s="3" t="s">
        <v>331</v>
      </c>
      <c r="D1162" s="4">
        <v>45663.0</v>
      </c>
      <c r="E1162" s="3">
        <v>11.0</v>
      </c>
      <c r="F1162" s="5">
        <v>2.0</v>
      </c>
      <c r="G1162" s="3">
        <v>222.0</v>
      </c>
      <c r="H1162" s="3" t="str">
        <f>VLOOKUP(B1162,'Currency Table'!$M$3:$N$6,2, FALSE)</f>
        <v>EUR</v>
      </c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</row>
    <row r="1163" ht="15.75" hidden="1" customHeight="1">
      <c r="A1163" s="3" t="s">
        <v>420</v>
      </c>
      <c r="B1163" s="3" t="s">
        <v>330</v>
      </c>
      <c r="C1163" s="3" t="s">
        <v>347</v>
      </c>
      <c r="D1163" s="4">
        <v>45663.0</v>
      </c>
      <c r="E1163" s="3">
        <v>30.0</v>
      </c>
      <c r="F1163" s="5">
        <v>3.0</v>
      </c>
      <c r="G1163" s="3">
        <v>266.0</v>
      </c>
      <c r="H1163" s="3" t="str">
        <f>VLOOKUP(B1163,'Currency Table'!$M$3:$N$6,2, FALSE)</f>
        <v>EUR</v>
      </c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</row>
    <row r="1164" ht="15.75" hidden="1" customHeight="1">
      <c r="A1164" s="3" t="s">
        <v>421</v>
      </c>
      <c r="B1164" s="3" t="s">
        <v>330</v>
      </c>
      <c r="C1164" s="3" t="s">
        <v>347</v>
      </c>
      <c r="D1164" s="4">
        <v>45663.0</v>
      </c>
      <c r="E1164" s="3">
        <v>56.0</v>
      </c>
      <c r="F1164" s="5">
        <v>1.0</v>
      </c>
      <c r="G1164" s="3">
        <v>881.0</v>
      </c>
      <c r="H1164" s="3" t="str">
        <f>VLOOKUP(B1164,'Currency Table'!$M$3:$N$6,2, FALSE)</f>
        <v>EUR</v>
      </c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</row>
    <row r="1165" ht="15.75" hidden="1" customHeight="1">
      <c r="A1165" s="3" t="s">
        <v>422</v>
      </c>
      <c r="B1165" s="3" t="s">
        <v>330</v>
      </c>
      <c r="C1165" s="3" t="s">
        <v>335</v>
      </c>
      <c r="D1165" s="4">
        <v>45663.0</v>
      </c>
      <c r="E1165" s="3">
        <v>31.0</v>
      </c>
      <c r="F1165" s="5">
        <v>2.0</v>
      </c>
      <c r="G1165" s="3">
        <v>575.0</v>
      </c>
      <c r="H1165" s="3" t="str">
        <f>VLOOKUP(B1165,'Currency Table'!$M$3:$N$6,2, FALSE)</f>
        <v>EUR</v>
      </c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</row>
    <row r="1166" ht="15.75" hidden="1" customHeight="1">
      <c r="A1166" s="3" t="s">
        <v>423</v>
      </c>
      <c r="B1166" s="3" t="s">
        <v>330</v>
      </c>
      <c r="C1166" s="3" t="s">
        <v>338</v>
      </c>
      <c r="D1166" s="4">
        <v>45663.0</v>
      </c>
      <c r="E1166" s="3">
        <v>36.0</v>
      </c>
      <c r="F1166" s="5">
        <v>4.0</v>
      </c>
      <c r="G1166" s="3">
        <v>567.0</v>
      </c>
      <c r="H1166" s="3" t="str">
        <f>VLOOKUP(B1166,'Currency Table'!$M$3:$N$6,2, FALSE)</f>
        <v>EUR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</row>
    <row r="1167" ht="15.75" hidden="1" customHeight="1">
      <c r="A1167" s="3" t="s">
        <v>424</v>
      </c>
      <c r="B1167" s="3" t="s">
        <v>330</v>
      </c>
      <c r="C1167" s="3" t="s">
        <v>331</v>
      </c>
      <c r="D1167" s="4">
        <v>45663.0</v>
      </c>
      <c r="E1167" s="3">
        <v>15.0</v>
      </c>
      <c r="F1167" s="5">
        <v>3.0</v>
      </c>
      <c r="G1167" s="3">
        <v>183.0</v>
      </c>
      <c r="H1167" s="3" t="str">
        <f>VLOOKUP(B1167,'Currency Table'!$M$3:$N$6,2, FALSE)</f>
        <v>EUR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</row>
    <row r="1168" ht="15.75" hidden="1" customHeight="1">
      <c r="A1168" s="3" t="s">
        <v>425</v>
      </c>
      <c r="B1168" s="3" t="s">
        <v>330</v>
      </c>
      <c r="C1168" s="3" t="s">
        <v>340</v>
      </c>
      <c r="D1168" s="4">
        <v>45663.0</v>
      </c>
      <c r="E1168" s="3">
        <v>65.0</v>
      </c>
      <c r="F1168" s="5">
        <v>5.0</v>
      </c>
      <c r="G1168" s="3">
        <v>1044.0</v>
      </c>
      <c r="H1168" s="3" t="str">
        <f>VLOOKUP(B1168,'Currency Table'!$M$3:$N$6,2, FALSE)</f>
        <v>EUR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</row>
    <row r="1169" ht="15.75" hidden="1" customHeight="1">
      <c r="A1169" s="3" t="s">
        <v>426</v>
      </c>
      <c r="B1169" s="3" t="s">
        <v>330</v>
      </c>
      <c r="C1169" s="3" t="s">
        <v>338</v>
      </c>
      <c r="D1169" s="4">
        <v>45663.0</v>
      </c>
      <c r="E1169" s="3">
        <v>51.0</v>
      </c>
      <c r="F1169" s="5">
        <v>3.0</v>
      </c>
      <c r="G1169" s="3">
        <v>713.0</v>
      </c>
      <c r="H1169" s="3" t="str">
        <f>VLOOKUP(B1169,'Currency Table'!$M$3:$N$6,2, FALSE)</f>
        <v>EUR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</row>
    <row r="1170" ht="15.75" hidden="1" customHeight="1">
      <c r="A1170" s="3" t="s">
        <v>427</v>
      </c>
      <c r="B1170" s="3" t="s">
        <v>330</v>
      </c>
      <c r="C1170" s="3" t="s">
        <v>338</v>
      </c>
      <c r="D1170" s="4">
        <v>45663.0</v>
      </c>
      <c r="E1170" s="3">
        <v>67.0</v>
      </c>
      <c r="F1170" s="5">
        <v>4.0</v>
      </c>
      <c r="G1170" s="3">
        <v>1009.0</v>
      </c>
      <c r="H1170" s="3" t="str">
        <f>VLOOKUP(B1170,'Currency Table'!$M$3:$N$6,2, FALSE)</f>
        <v>EUR</v>
      </c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</row>
    <row r="1171" ht="15.75" hidden="1" customHeight="1">
      <c r="A1171" s="3" t="s">
        <v>428</v>
      </c>
      <c r="B1171" s="3" t="s">
        <v>330</v>
      </c>
      <c r="C1171" s="3" t="s">
        <v>331</v>
      </c>
      <c r="D1171" s="4">
        <v>45663.0</v>
      </c>
      <c r="E1171" s="3">
        <v>27.0</v>
      </c>
      <c r="F1171" s="5">
        <v>1.0</v>
      </c>
      <c r="G1171" s="3">
        <v>290.0</v>
      </c>
      <c r="H1171" s="3" t="str">
        <f>VLOOKUP(B1171,'Currency Table'!$M$3:$N$6,2, FALSE)</f>
        <v>EUR</v>
      </c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</row>
    <row r="1172" ht="15.75" hidden="1" customHeight="1">
      <c r="A1172" s="3" t="s">
        <v>429</v>
      </c>
      <c r="B1172" s="3" t="s">
        <v>330</v>
      </c>
      <c r="C1172" s="3" t="s">
        <v>335</v>
      </c>
      <c r="D1172" s="4">
        <v>45663.0</v>
      </c>
      <c r="E1172" s="3">
        <v>28.0</v>
      </c>
      <c r="F1172" s="5">
        <v>0.0</v>
      </c>
      <c r="G1172" s="3">
        <v>481.0</v>
      </c>
      <c r="H1172" s="3" t="str">
        <f>VLOOKUP(B1172,'Currency Table'!$M$3:$N$6,2, FALSE)</f>
        <v>EUR</v>
      </c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</row>
    <row r="1173" ht="15.75" hidden="1" customHeight="1">
      <c r="A1173" s="3" t="s">
        <v>430</v>
      </c>
      <c r="B1173" s="3" t="s">
        <v>330</v>
      </c>
      <c r="C1173" s="3" t="s">
        <v>347</v>
      </c>
      <c r="D1173" s="4">
        <v>45663.0</v>
      </c>
      <c r="E1173" s="3">
        <v>27.0</v>
      </c>
      <c r="F1173" s="5">
        <v>2.0</v>
      </c>
      <c r="G1173" s="3">
        <v>283.0</v>
      </c>
      <c r="H1173" s="3" t="str">
        <f>VLOOKUP(B1173,'Currency Table'!$M$3:$N$6,2, FALSE)</f>
        <v>EUR</v>
      </c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</row>
    <row r="1174" ht="15.75" hidden="1" customHeight="1">
      <c r="A1174" s="3" t="s">
        <v>431</v>
      </c>
      <c r="B1174" s="3" t="s">
        <v>330</v>
      </c>
      <c r="C1174" s="3" t="s">
        <v>331</v>
      </c>
      <c r="D1174" s="4">
        <v>45663.0</v>
      </c>
      <c r="E1174" s="3">
        <v>66.0</v>
      </c>
      <c r="F1174" s="5">
        <v>4.0</v>
      </c>
      <c r="G1174" s="3">
        <v>1012.0</v>
      </c>
      <c r="H1174" s="3" t="str">
        <f>VLOOKUP(B1174,'Currency Table'!$M$3:$N$6,2, FALSE)</f>
        <v>EUR</v>
      </c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</row>
    <row r="1175" ht="15.75" hidden="1" customHeight="1">
      <c r="A1175" s="3" t="s">
        <v>432</v>
      </c>
      <c r="B1175" s="3" t="s">
        <v>330</v>
      </c>
      <c r="C1175" s="3" t="s">
        <v>347</v>
      </c>
      <c r="D1175" s="4">
        <v>45663.0</v>
      </c>
      <c r="E1175" s="3">
        <v>13.0</v>
      </c>
      <c r="F1175" s="5">
        <v>2.0</v>
      </c>
      <c r="G1175" s="3">
        <v>168.0</v>
      </c>
      <c r="H1175" s="3" t="str">
        <f>VLOOKUP(B1175,'Currency Table'!$M$3:$N$6,2, FALSE)</f>
        <v>EUR</v>
      </c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</row>
    <row r="1176" ht="15.75" hidden="1" customHeight="1">
      <c r="A1176" s="3" t="s">
        <v>433</v>
      </c>
      <c r="B1176" s="3" t="s">
        <v>330</v>
      </c>
      <c r="C1176" s="3" t="s">
        <v>338</v>
      </c>
      <c r="D1176" s="4">
        <v>45663.0</v>
      </c>
      <c r="E1176" s="3">
        <v>23.0</v>
      </c>
      <c r="F1176" s="5">
        <v>1.0</v>
      </c>
      <c r="G1176" s="3">
        <v>391.0</v>
      </c>
      <c r="H1176" s="3" t="str">
        <f>VLOOKUP(B1176,'Currency Table'!$M$3:$N$6,2, FALSE)</f>
        <v>EUR</v>
      </c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</row>
    <row r="1177" ht="15.75" hidden="1" customHeight="1">
      <c r="A1177" s="3" t="s">
        <v>337</v>
      </c>
      <c r="B1177" s="3" t="s">
        <v>330</v>
      </c>
      <c r="C1177" s="3" t="s">
        <v>338</v>
      </c>
      <c r="D1177" s="4">
        <v>45670.0</v>
      </c>
      <c r="E1177" s="3">
        <v>25.0</v>
      </c>
      <c r="F1177" s="5">
        <v>2.0</v>
      </c>
      <c r="G1177" s="3">
        <v>464.0</v>
      </c>
      <c r="H1177" s="3" t="str">
        <f>VLOOKUP(B1177,'Currency Table'!$M$3:$N$6,2, FALSE)</f>
        <v>EUR</v>
      </c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</row>
    <row r="1178" ht="15.75" hidden="1" customHeight="1">
      <c r="A1178" s="3" t="s">
        <v>329</v>
      </c>
      <c r="B1178" s="3" t="s">
        <v>330</v>
      </c>
      <c r="C1178" s="3" t="s">
        <v>331</v>
      </c>
      <c r="D1178" s="4">
        <v>45670.0</v>
      </c>
      <c r="E1178" s="3">
        <v>22.0</v>
      </c>
      <c r="F1178" s="5">
        <v>1.0</v>
      </c>
      <c r="G1178" s="3">
        <v>493.0</v>
      </c>
      <c r="H1178" s="3" t="str">
        <f>VLOOKUP(B1178,'Currency Table'!$M$3:$N$6,2, FALSE)</f>
        <v>EUR</v>
      </c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</row>
    <row r="1179" ht="15.75" hidden="1" customHeight="1">
      <c r="A1179" s="3" t="s">
        <v>346</v>
      </c>
      <c r="B1179" s="3" t="s">
        <v>330</v>
      </c>
      <c r="C1179" s="3" t="s">
        <v>347</v>
      </c>
      <c r="D1179" s="4">
        <v>45670.0</v>
      </c>
      <c r="E1179" s="3">
        <v>56.0</v>
      </c>
      <c r="F1179" s="5">
        <v>6.0</v>
      </c>
      <c r="G1179" s="3">
        <v>757.0</v>
      </c>
      <c r="H1179" s="3" t="str">
        <f>VLOOKUP(B1179,'Currency Table'!$M$3:$N$6,2, FALSE)</f>
        <v>EUR</v>
      </c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</row>
    <row r="1180" ht="15.75" hidden="1" customHeight="1">
      <c r="A1180" s="3" t="s">
        <v>351</v>
      </c>
      <c r="B1180" s="3" t="s">
        <v>330</v>
      </c>
      <c r="C1180" s="3" t="s">
        <v>352</v>
      </c>
      <c r="D1180" s="4">
        <v>45670.0</v>
      </c>
      <c r="E1180" s="3">
        <v>30.0</v>
      </c>
      <c r="F1180" s="5">
        <v>0.0</v>
      </c>
      <c r="G1180" s="3">
        <v>446.0</v>
      </c>
      <c r="H1180" s="3" t="str">
        <f>VLOOKUP(B1180,'Currency Table'!$M$3:$N$6,2, FALSE)</f>
        <v>EUR</v>
      </c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</row>
    <row r="1181" ht="15.75" hidden="1" customHeight="1">
      <c r="A1181" s="3" t="s">
        <v>336</v>
      </c>
      <c r="B1181" s="3" t="s">
        <v>330</v>
      </c>
      <c r="C1181" s="3" t="s">
        <v>331</v>
      </c>
      <c r="D1181" s="4">
        <v>45670.0</v>
      </c>
      <c r="E1181" s="3">
        <v>65.0</v>
      </c>
      <c r="F1181" s="5">
        <v>2.0</v>
      </c>
      <c r="G1181" s="3">
        <v>1003.0</v>
      </c>
      <c r="H1181" s="3" t="str">
        <f>VLOOKUP(B1181,'Currency Table'!$M$3:$N$6,2, FALSE)</f>
        <v>EUR</v>
      </c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</row>
    <row r="1182" ht="15.75" hidden="1" customHeight="1">
      <c r="A1182" s="3" t="s">
        <v>344</v>
      </c>
      <c r="B1182" s="3" t="s">
        <v>330</v>
      </c>
      <c r="C1182" s="3" t="s">
        <v>331</v>
      </c>
      <c r="D1182" s="4">
        <v>45670.0</v>
      </c>
      <c r="E1182" s="3">
        <v>12.0</v>
      </c>
      <c r="F1182" s="5">
        <v>3.0</v>
      </c>
      <c r="G1182" s="3">
        <v>180.0</v>
      </c>
      <c r="H1182" s="3" t="str">
        <f>VLOOKUP(B1182,'Currency Table'!$M$3:$N$6,2, FALSE)</f>
        <v>EUR</v>
      </c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</row>
    <row r="1183" ht="15.75" hidden="1" customHeight="1">
      <c r="A1183" s="3" t="s">
        <v>368</v>
      </c>
      <c r="B1183" s="3" t="s">
        <v>330</v>
      </c>
      <c r="C1183" s="3" t="s">
        <v>352</v>
      </c>
      <c r="D1183" s="4">
        <v>45670.0</v>
      </c>
      <c r="E1183" s="3">
        <v>11.0</v>
      </c>
      <c r="F1183" s="5">
        <v>2.0</v>
      </c>
      <c r="G1183" s="3">
        <v>177.0</v>
      </c>
      <c r="H1183" s="3" t="str">
        <f>VLOOKUP(B1183,'Currency Table'!$M$3:$N$6,2, FALSE)</f>
        <v>EUR</v>
      </c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</row>
    <row r="1184" ht="15.75" hidden="1" customHeight="1">
      <c r="A1184" s="3" t="s">
        <v>339</v>
      </c>
      <c r="B1184" s="3" t="s">
        <v>330</v>
      </c>
      <c r="C1184" s="3" t="s">
        <v>340</v>
      </c>
      <c r="D1184" s="4">
        <v>45670.0</v>
      </c>
      <c r="E1184" s="3">
        <v>18.0</v>
      </c>
      <c r="F1184" s="5">
        <v>1.0</v>
      </c>
      <c r="G1184" s="3">
        <v>287.0</v>
      </c>
      <c r="H1184" s="3" t="str">
        <f>VLOOKUP(B1184,'Currency Table'!$M$3:$N$6,2, FALSE)</f>
        <v>EUR</v>
      </c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</row>
    <row r="1185" ht="15.75" hidden="1" customHeight="1">
      <c r="A1185" s="3" t="s">
        <v>358</v>
      </c>
      <c r="B1185" s="3" t="s">
        <v>330</v>
      </c>
      <c r="C1185" s="3" t="s">
        <v>331</v>
      </c>
      <c r="D1185" s="4">
        <v>45670.0</v>
      </c>
      <c r="E1185" s="3">
        <v>50.0</v>
      </c>
      <c r="F1185" s="5">
        <v>2.0</v>
      </c>
      <c r="G1185" s="3">
        <v>785.0</v>
      </c>
      <c r="H1185" s="3" t="str">
        <f>VLOOKUP(B1185,'Currency Table'!$M$3:$N$6,2, FALSE)</f>
        <v>EUR</v>
      </c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</row>
    <row r="1186" ht="15.75" hidden="1" customHeight="1">
      <c r="A1186" s="3" t="s">
        <v>341</v>
      </c>
      <c r="B1186" s="3" t="s">
        <v>330</v>
      </c>
      <c r="C1186" s="3" t="s">
        <v>340</v>
      </c>
      <c r="D1186" s="4">
        <v>45670.0</v>
      </c>
      <c r="E1186" s="3">
        <v>30.0</v>
      </c>
      <c r="F1186" s="5">
        <v>5.0</v>
      </c>
      <c r="G1186" s="3">
        <v>463.0</v>
      </c>
      <c r="H1186" s="3" t="str">
        <f>VLOOKUP(B1186,'Currency Table'!$M$3:$N$6,2, FALSE)</f>
        <v>EUR</v>
      </c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</row>
    <row r="1187" ht="15.75" hidden="1" customHeight="1">
      <c r="A1187" s="3" t="s">
        <v>332</v>
      </c>
      <c r="B1187" s="3" t="s">
        <v>330</v>
      </c>
      <c r="C1187" s="3" t="s">
        <v>333</v>
      </c>
      <c r="D1187" s="4">
        <v>45670.0</v>
      </c>
      <c r="E1187" s="3">
        <v>37.0</v>
      </c>
      <c r="F1187" s="5">
        <v>3.0</v>
      </c>
      <c r="G1187" s="3">
        <v>509.0</v>
      </c>
      <c r="H1187" s="3" t="str">
        <f>VLOOKUP(B1187,'Currency Table'!$M$3:$N$6,2, FALSE)</f>
        <v>EUR</v>
      </c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</row>
    <row r="1188" ht="15.75" hidden="1" customHeight="1">
      <c r="A1188" s="3" t="s">
        <v>349</v>
      </c>
      <c r="B1188" s="3" t="s">
        <v>330</v>
      </c>
      <c r="C1188" s="3" t="s">
        <v>347</v>
      </c>
      <c r="D1188" s="4">
        <v>45670.0</v>
      </c>
      <c r="E1188" s="3">
        <v>16.0</v>
      </c>
      <c r="F1188" s="5">
        <v>4.0</v>
      </c>
      <c r="G1188" s="3">
        <v>282.0</v>
      </c>
      <c r="H1188" s="3" t="str">
        <f>VLOOKUP(B1188,'Currency Table'!$M$3:$N$6,2, FALSE)</f>
        <v>EUR</v>
      </c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</row>
    <row r="1189" ht="15.75" hidden="1" customHeight="1">
      <c r="A1189" s="3" t="s">
        <v>342</v>
      </c>
      <c r="B1189" s="3" t="s">
        <v>330</v>
      </c>
      <c r="C1189" s="3" t="s">
        <v>340</v>
      </c>
      <c r="D1189" s="4">
        <v>45670.0</v>
      </c>
      <c r="E1189" s="3">
        <v>50.0</v>
      </c>
      <c r="F1189" s="5">
        <v>0.0</v>
      </c>
      <c r="G1189" s="3">
        <v>811.0</v>
      </c>
      <c r="H1189" s="3" t="str">
        <f>VLOOKUP(B1189,'Currency Table'!$M$3:$N$6,2, FALSE)</f>
        <v>EUR</v>
      </c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</row>
    <row r="1190" ht="15.75" hidden="1" customHeight="1">
      <c r="A1190" s="3" t="s">
        <v>361</v>
      </c>
      <c r="B1190" s="3" t="s">
        <v>330</v>
      </c>
      <c r="C1190" s="3" t="s">
        <v>331</v>
      </c>
      <c r="D1190" s="4">
        <v>45670.0</v>
      </c>
      <c r="E1190" s="3">
        <v>56.0</v>
      </c>
      <c r="F1190" s="5">
        <v>1.0</v>
      </c>
      <c r="G1190" s="3">
        <v>743.0</v>
      </c>
      <c r="H1190" s="3" t="str">
        <f>VLOOKUP(B1190,'Currency Table'!$M$3:$N$6,2, FALSE)</f>
        <v>EUR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</row>
    <row r="1191" ht="15.75" hidden="1" customHeight="1">
      <c r="A1191" s="3" t="s">
        <v>348</v>
      </c>
      <c r="B1191" s="3" t="s">
        <v>330</v>
      </c>
      <c r="C1191" s="3" t="s">
        <v>333</v>
      </c>
      <c r="D1191" s="4">
        <v>45670.0</v>
      </c>
      <c r="E1191" s="3">
        <v>60.0</v>
      </c>
      <c r="F1191" s="5">
        <v>0.0</v>
      </c>
      <c r="G1191" s="3">
        <v>841.0</v>
      </c>
      <c r="H1191" s="3" t="str">
        <f>VLOOKUP(B1191,'Currency Table'!$M$3:$N$6,2, FALSE)</f>
        <v>EUR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</row>
    <row r="1192" ht="15.75" hidden="1" customHeight="1">
      <c r="A1192" s="3" t="s">
        <v>353</v>
      </c>
      <c r="B1192" s="3" t="s">
        <v>330</v>
      </c>
      <c r="C1192" s="3" t="s">
        <v>347</v>
      </c>
      <c r="D1192" s="4">
        <v>45670.0</v>
      </c>
      <c r="E1192" s="3">
        <v>44.0</v>
      </c>
      <c r="F1192" s="5">
        <v>2.0</v>
      </c>
      <c r="G1192" s="3">
        <v>645.0</v>
      </c>
      <c r="H1192" s="3" t="str">
        <f>VLOOKUP(B1192,'Currency Table'!$M$3:$N$6,2, FALSE)</f>
        <v>EUR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</row>
    <row r="1193" ht="15.75" hidden="1" customHeight="1">
      <c r="A1193" s="3" t="s">
        <v>357</v>
      </c>
      <c r="B1193" s="3" t="s">
        <v>330</v>
      </c>
      <c r="C1193" s="3" t="s">
        <v>347</v>
      </c>
      <c r="D1193" s="4">
        <v>45670.0</v>
      </c>
      <c r="E1193" s="3">
        <v>61.0</v>
      </c>
      <c r="F1193" s="5">
        <v>2.0</v>
      </c>
      <c r="G1193" s="3">
        <v>1045.0</v>
      </c>
      <c r="H1193" s="3" t="str">
        <f>VLOOKUP(B1193,'Currency Table'!$M$3:$N$6,2, FALSE)</f>
        <v>EUR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</row>
    <row r="1194" ht="15.75" hidden="1" customHeight="1">
      <c r="A1194" s="3" t="s">
        <v>365</v>
      </c>
      <c r="B1194" s="3" t="s">
        <v>330</v>
      </c>
      <c r="C1194" s="3" t="s">
        <v>331</v>
      </c>
      <c r="D1194" s="4">
        <v>45670.0</v>
      </c>
      <c r="E1194" s="3">
        <v>64.0</v>
      </c>
      <c r="F1194" s="5">
        <v>3.0</v>
      </c>
      <c r="G1194" s="3">
        <v>919.0</v>
      </c>
      <c r="H1194" s="3" t="str">
        <f>VLOOKUP(B1194,'Currency Table'!$M$3:$N$6,2, FALSE)</f>
        <v>EUR</v>
      </c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</row>
    <row r="1195" ht="15.75" hidden="1" customHeight="1">
      <c r="A1195" s="3" t="s">
        <v>393</v>
      </c>
      <c r="B1195" s="3" t="s">
        <v>330</v>
      </c>
      <c r="C1195" s="3" t="s">
        <v>352</v>
      </c>
      <c r="D1195" s="4">
        <v>45670.0</v>
      </c>
      <c r="E1195" s="3">
        <v>50.0</v>
      </c>
      <c r="F1195" s="5">
        <v>2.0</v>
      </c>
      <c r="G1195" s="3">
        <v>770.0</v>
      </c>
      <c r="H1195" s="3" t="str">
        <f>VLOOKUP(B1195,'Currency Table'!$M$3:$N$6,2, FALSE)</f>
        <v>EUR</v>
      </c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</row>
    <row r="1196" ht="15.75" hidden="1" customHeight="1">
      <c r="A1196" s="3" t="s">
        <v>355</v>
      </c>
      <c r="B1196" s="3" t="s">
        <v>330</v>
      </c>
      <c r="C1196" s="3" t="s">
        <v>333</v>
      </c>
      <c r="D1196" s="4">
        <v>45670.0</v>
      </c>
      <c r="E1196" s="3">
        <v>55.0</v>
      </c>
      <c r="F1196" s="5">
        <v>1.0</v>
      </c>
      <c r="G1196" s="3">
        <v>758.0</v>
      </c>
      <c r="H1196" s="3" t="str">
        <f>VLOOKUP(B1196,'Currency Table'!$M$3:$N$6,2, FALSE)</f>
        <v>EUR</v>
      </c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</row>
    <row r="1197" ht="15.75" hidden="1" customHeight="1">
      <c r="A1197" s="3" t="s">
        <v>360</v>
      </c>
      <c r="B1197" s="3" t="s">
        <v>330</v>
      </c>
      <c r="C1197" s="3" t="s">
        <v>347</v>
      </c>
      <c r="D1197" s="4">
        <v>45670.0</v>
      </c>
      <c r="E1197" s="3">
        <v>57.0</v>
      </c>
      <c r="F1197" s="5">
        <v>2.0</v>
      </c>
      <c r="G1197" s="3">
        <v>866.0</v>
      </c>
      <c r="H1197" s="3" t="str">
        <f>VLOOKUP(B1197,'Currency Table'!$M$3:$N$6,2, FALSE)</f>
        <v>EUR</v>
      </c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</row>
    <row r="1198" ht="15.75" hidden="1" customHeight="1">
      <c r="A1198" s="3" t="s">
        <v>334</v>
      </c>
      <c r="B1198" s="3" t="s">
        <v>330</v>
      </c>
      <c r="C1198" s="3" t="s">
        <v>335</v>
      </c>
      <c r="D1198" s="4">
        <v>45670.0</v>
      </c>
      <c r="E1198" s="3">
        <v>47.0</v>
      </c>
      <c r="F1198" s="5">
        <v>2.0</v>
      </c>
      <c r="G1198" s="3">
        <v>823.0</v>
      </c>
      <c r="H1198" s="3" t="str">
        <f>VLOOKUP(B1198,'Currency Table'!$M$3:$N$6,2, FALSE)</f>
        <v>EUR</v>
      </c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</row>
    <row r="1199" ht="15.75" hidden="1" customHeight="1">
      <c r="A1199" s="3" t="s">
        <v>350</v>
      </c>
      <c r="B1199" s="3" t="s">
        <v>330</v>
      </c>
      <c r="C1199" s="3" t="s">
        <v>335</v>
      </c>
      <c r="D1199" s="4">
        <v>45670.0</v>
      </c>
      <c r="E1199" s="3">
        <v>27.0</v>
      </c>
      <c r="F1199" s="5">
        <v>1.0</v>
      </c>
      <c r="G1199" s="3">
        <v>395.0</v>
      </c>
      <c r="H1199" s="3" t="str">
        <f>VLOOKUP(B1199,'Currency Table'!$M$3:$N$6,2, FALSE)</f>
        <v>EUR</v>
      </c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</row>
    <row r="1200" ht="15.75" hidden="1" customHeight="1">
      <c r="A1200" s="3" t="s">
        <v>371</v>
      </c>
      <c r="B1200" s="3" t="s">
        <v>330</v>
      </c>
      <c r="C1200" s="3" t="s">
        <v>347</v>
      </c>
      <c r="D1200" s="4">
        <v>45670.0</v>
      </c>
      <c r="E1200" s="3">
        <v>52.0</v>
      </c>
      <c r="F1200" s="5">
        <v>3.0</v>
      </c>
      <c r="G1200" s="3">
        <v>701.0</v>
      </c>
      <c r="H1200" s="3" t="str">
        <f>VLOOKUP(B1200,'Currency Table'!$M$3:$N$6,2, FALSE)</f>
        <v>EUR</v>
      </c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</row>
    <row r="1201" ht="15.75" hidden="1" customHeight="1">
      <c r="A1201" s="3" t="s">
        <v>363</v>
      </c>
      <c r="B1201" s="3" t="s">
        <v>330</v>
      </c>
      <c r="C1201" s="3" t="s">
        <v>335</v>
      </c>
      <c r="D1201" s="4">
        <v>45670.0</v>
      </c>
      <c r="E1201" s="3">
        <v>14.0</v>
      </c>
      <c r="F1201" s="5">
        <v>2.0</v>
      </c>
      <c r="G1201" s="3">
        <v>241.0</v>
      </c>
      <c r="H1201" s="3" t="str">
        <f>VLOOKUP(B1201,'Currency Table'!$M$3:$N$6,2, FALSE)</f>
        <v>EUR</v>
      </c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</row>
    <row r="1202" ht="15.75" hidden="1" customHeight="1">
      <c r="A1202" s="3" t="s">
        <v>384</v>
      </c>
      <c r="B1202" s="3" t="s">
        <v>330</v>
      </c>
      <c r="C1202" s="3" t="s">
        <v>347</v>
      </c>
      <c r="D1202" s="4">
        <v>45670.0</v>
      </c>
      <c r="E1202" s="3">
        <v>40.0</v>
      </c>
      <c r="F1202" s="5">
        <v>2.0</v>
      </c>
      <c r="G1202" s="3">
        <v>699.0</v>
      </c>
      <c r="H1202" s="3" t="str">
        <f>VLOOKUP(B1202,'Currency Table'!$M$3:$N$6,2, FALSE)</f>
        <v>EUR</v>
      </c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</row>
    <row r="1203" ht="15.75" hidden="1" customHeight="1">
      <c r="A1203" s="3" t="s">
        <v>343</v>
      </c>
      <c r="B1203" s="3" t="s">
        <v>330</v>
      </c>
      <c r="C1203" s="3" t="s">
        <v>338</v>
      </c>
      <c r="D1203" s="4">
        <v>45670.0</v>
      </c>
      <c r="E1203" s="3">
        <v>62.0</v>
      </c>
      <c r="F1203" s="5">
        <v>4.0</v>
      </c>
      <c r="G1203" s="3">
        <v>992.0</v>
      </c>
      <c r="H1203" s="3" t="str">
        <f>VLOOKUP(B1203,'Currency Table'!$M$3:$N$6,2, FALSE)</f>
        <v>EUR</v>
      </c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</row>
    <row r="1204" ht="15.75" hidden="1" customHeight="1">
      <c r="A1204" s="3" t="s">
        <v>394</v>
      </c>
      <c r="B1204" s="3" t="s">
        <v>330</v>
      </c>
      <c r="C1204" s="3" t="s">
        <v>352</v>
      </c>
      <c r="D1204" s="4">
        <v>45670.0</v>
      </c>
      <c r="E1204" s="3">
        <v>60.0</v>
      </c>
      <c r="F1204" s="5">
        <v>1.0</v>
      </c>
      <c r="G1204" s="3">
        <v>885.0</v>
      </c>
      <c r="H1204" s="3" t="str">
        <f>VLOOKUP(B1204,'Currency Table'!$M$3:$N$6,2, FALSE)</f>
        <v>EUR</v>
      </c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</row>
    <row r="1205" ht="15.75" hidden="1" customHeight="1">
      <c r="A1205" s="3" t="s">
        <v>367</v>
      </c>
      <c r="B1205" s="3" t="s">
        <v>330</v>
      </c>
      <c r="C1205" s="3" t="s">
        <v>331</v>
      </c>
      <c r="D1205" s="4">
        <v>45670.0</v>
      </c>
      <c r="E1205" s="3">
        <v>18.0</v>
      </c>
      <c r="F1205" s="5">
        <v>5.0</v>
      </c>
      <c r="G1205" s="3">
        <v>359.0</v>
      </c>
      <c r="H1205" s="3" t="str">
        <f>VLOOKUP(B1205,'Currency Table'!$M$3:$N$6,2, FALSE)</f>
        <v>EUR</v>
      </c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</row>
    <row r="1206" ht="15.75" hidden="1" customHeight="1">
      <c r="A1206" s="3" t="s">
        <v>364</v>
      </c>
      <c r="B1206" s="3" t="s">
        <v>330</v>
      </c>
      <c r="C1206" s="3" t="s">
        <v>338</v>
      </c>
      <c r="D1206" s="4">
        <v>45670.0</v>
      </c>
      <c r="E1206" s="3">
        <v>51.0</v>
      </c>
      <c r="F1206" s="5">
        <v>3.0</v>
      </c>
      <c r="G1206" s="3">
        <v>839.0</v>
      </c>
      <c r="H1206" s="3" t="str">
        <f>VLOOKUP(B1206,'Currency Table'!$M$3:$N$6,2, FALSE)</f>
        <v>EUR</v>
      </c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</row>
    <row r="1207" ht="15.75" hidden="1" customHeight="1">
      <c r="A1207" s="3" t="s">
        <v>370</v>
      </c>
      <c r="B1207" s="3" t="s">
        <v>330</v>
      </c>
      <c r="C1207" s="3" t="s">
        <v>335</v>
      </c>
      <c r="D1207" s="4">
        <v>45670.0</v>
      </c>
      <c r="E1207" s="3">
        <v>30.0</v>
      </c>
      <c r="F1207" s="5">
        <v>4.0</v>
      </c>
      <c r="G1207" s="3">
        <v>290.0</v>
      </c>
      <c r="H1207" s="3" t="str">
        <f>VLOOKUP(B1207,'Currency Table'!$M$3:$N$6,2, FALSE)</f>
        <v>EUR</v>
      </c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</row>
    <row r="1208" ht="15.75" hidden="1" customHeight="1">
      <c r="A1208" s="3" t="s">
        <v>345</v>
      </c>
      <c r="B1208" s="3" t="s">
        <v>330</v>
      </c>
      <c r="C1208" s="3" t="s">
        <v>340</v>
      </c>
      <c r="D1208" s="4">
        <v>45670.0</v>
      </c>
      <c r="E1208" s="3">
        <v>22.0</v>
      </c>
      <c r="F1208" s="5">
        <v>5.0</v>
      </c>
      <c r="G1208" s="3">
        <v>389.0</v>
      </c>
      <c r="H1208" s="3" t="str">
        <f>VLOOKUP(B1208,'Currency Table'!$M$3:$N$6,2, FALSE)</f>
        <v>EUR</v>
      </c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</row>
    <row r="1209" ht="15.75" hidden="1" customHeight="1">
      <c r="A1209" s="3" t="s">
        <v>366</v>
      </c>
      <c r="B1209" s="3" t="s">
        <v>330</v>
      </c>
      <c r="C1209" s="3" t="s">
        <v>338</v>
      </c>
      <c r="D1209" s="4">
        <v>45670.0</v>
      </c>
      <c r="E1209" s="3">
        <v>57.0</v>
      </c>
      <c r="F1209" s="5">
        <v>0.0</v>
      </c>
      <c r="G1209" s="3">
        <v>881.0</v>
      </c>
      <c r="H1209" s="3" t="str">
        <f>VLOOKUP(B1209,'Currency Table'!$M$3:$N$6,2, FALSE)</f>
        <v>EUR</v>
      </c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</row>
    <row r="1210" ht="15.75" hidden="1" customHeight="1">
      <c r="A1210" s="3" t="s">
        <v>377</v>
      </c>
      <c r="B1210" s="3" t="s">
        <v>330</v>
      </c>
      <c r="C1210" s="3" t="s">
        <v>331</v>
      </c>
      <c r="D1210" s="4">
        <v>45670.0</v>
      </c>
      <c r="E1210" s="3">
        <v>21.0</v>
      </c>
      <c r="F1210" s="5">
        <v>5.0</v>
      </c>
      <c r="G1210" s="3">
        <v>253.0</v>
      </c>
      <c r="H1210" s="3" t="str">
        <f>VLOOKUP(B1210,'Currency Table'!$M$3:$N$6,2, FALSE)</f>
        <v>EUR</v>
      </c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</row>
    <row r="1211" ht="15.75" hidden="1" customHeight="1">
      <c r="A1211" s="3" t="s">
        <v>356</v>
      </c>
      <c r="B1211" s="3" t="s">
        <v>330</v>
      </c>
      <c r="C1211" s="3" t="s">
        <v>333</v>
      </c>
      <c r="D1211" s="4">
        <v>45670.0</v>
      </c>
      <c r="E1211" s="3">
        <v>65.0</v>
      </c>
      <c r="F1211" s="5">
        <v>3.0</v>
      </c>
      <c r="G1211" s="3">
        <v>1015.0</v>
      </c>
      <c r="H1211" s="3" t="str">
        <f>VLOOKUP(B1211,'Currency Table'!$M$3:$N$6,2, FALSE)</f>
        <v>EUR</v>
      </c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</row>
    <row r="1212" ht="15.75" hidden="1" customHeight="1">
      <c r="A1212" s="3" t="s">
        <v>375</v>
      </c>
      <c r="B1212" s="3" t="s">
        <v>330</v>
      </c>
      <c r="C1212" s="3" t="s">
        <v>338</v>
      </c>
      <c r="D1212" s="4">
        <v>45670.0</v>
      </c>
      <c r="E1212" s="3">
        <v>55.0</v>
      </c>
      <c r="F1212" s="5">
        <v>4.0</v>
      </c>
      <c r="G1212" s="3">
        <v>715.0</v>
      </c>
      <c r="H1212" s="3" t="str">
        <f>VLOOKUP(B1212,'Currency Table'!$M$3:$N$6,2, FALSE)</f>
        <v>EUR</v>
      </c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</row>
    <row r="1213" ht="15.75" hidden="1" customHeight="1">
      <c r="A1213" s="3" t="s">
        <v>385</v>
      </c>
      <c r="B1213" s="3" t="s">
        <v>330</v>
      </c>
      <c r="C1213" s="3" t="s">
        <v>347</v>
      </c>
      <c r="D1213" s="4">
        <v>45670.0</v>
      </c>
      <c r="E1213" s="3">
        <v>37.0</v>
      </c>
      <c r="F1213" s="5">
        <v>1.0</v>
      </c>
      <c r="G1213" s="3">
        <v>649.0</v>
      </c>
      <c r="H1213" s="3" t="str">
        <f>VLOOKUP(B1213,'Currency Table'!$M$3:$N$6,2, FALSE)</f>
        <v>EUR</v>
      </c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</row>
    <row r="1214" ht="15.75" hidden="1" customHeight="1">
      <c r="A1214" s="3" t="s">
        <v>392</v>
      </c>
      <c r="B1214" s="3" t="s">
        <v>330</v>
      </c>
      <c r="C1214" s="3" t="s">
        <v>347</v>
      </c>
      <c r="D1214" s="4">
        <v>45670.0</v>
      </c>
      <c r="E1214" s="3">
        <v>14.0</v>
      </c>
      <c r="F1214" s="5">
        <v>2.0</v>
      </c>
      <c r="G1214" s="3">
        <v>205.0</v>
      </c>
      <c r="H1214" s="3" t="str">
        <f>VLOOKUP(B1214,'Currency Table'!$M$3:$N$6,2, FALSE)</f>
        <v>EUR</v>
      </c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</row>
    <row r="1215" ht="15.75" hidden="1" customHeight="1">
      <c r="A1215" s="3" t="s">
        <v>400</v>
      </c>
      <c r="B1215" s="3" t="s">
        <v>330</v>
      </c>
      <c r="C1215" s="3" t="s">
        <v>352</v>
      </c>
      <c r="D1215" s="4">
        <v>45670.0</v>
      </c>
      <c r="E1215" s="3">
        <v>29.0</v>
      </c>
      <c r="F1215" s="5">
        <v>0.0</v>
      </c>
      <c r="G1215" s="3">
        <v>320.0</v>
      </c>
      <c r="H1215" s="3" t="str">
        <f>VLOOKUP(B1215,'Currency Table'!$M$3:$N$6,2, FALSE)</f>
        <v>EUR</v>
      </c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</row>
    <row r="1216" ht="15.75" hidden="1" customHeight="1">
      <c r="A1216" s="3" t="s">
        <v>391</v>
      </c>
      <c r="B1216" s="3" t="s">
        <v>330</v>
      </c>
      <c r="C1216" s="3" t="s">
        <v>335</v>
      </c>
      <c r="D1216" s="4">
        <v>45670.0</v>
      </c>
      <c r="E1216" s="3">
        <v>56.0</v>
      </c>
      <c r="F1216" s="5">
        <v>2.0</v>
      </c>
      <c r="G1216" s="3">
        <v>729.0</v>
      </c>
      <c r="H1216" s="3" t="str">
        <f>VLOOKUP(B1216,'Currency Table'!$M$3:$N$6,2, FALSE)</f>
        <v>EUR</v>
      </c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</row>
    <row r="1217" ht="15.75" hidden="1" customHeight="1">
      <c r="A1217" s="3" t="s">
        <v>383</v>
      </c>
      <c r="B1217" s="3" t="s">
        <v>330</v>
      </c>
      <c r="C1217" s="3" t="s">
        <v>338</v>
      </c>
      <c r="D1217" s="4">
        <v>45670.0</v>
      </c>
      <c r="E1217" s="3">
        <v>20.0</v>
      </c>
      <c r="F1217" s="5">
        <v>2.0</v>
      </c>
      <c r="G1217" s="3">
        <v>327.0</v>
      </c>
      <c r="H1217" s="3" t="str">
        <f>VLOOKUP(B1217,'Currency Table'!$M$3:$N$6,2, FALSE)</f>
        <v>EUR</v>
      </c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</row>
    <row r="1218" ht="15.75" hidden="1" customHeight="1">
      <c r="A1218" s="3" t="s">
        <v>359</v>
      </c>
      <c r="B1218" s="3" t="s">
        <v>330</v>
      </c>
      <c r="C1218" s="3" t="s">
        <v>333</v>
      </c>
      <c r="D1218" s="4">
        <v>45670.0</v>
      </c>
      <c r="E1218" s="3">
        <v>69.0</v>
      </c>
      <c r="F1218" s="5">
        <v>4.0</v>
      </c>
      <c r="G1218" s="3">
        <v>961.0</v>
      </c>
      <c r="H1218" s="3" t="str">
        <f>VLOOKUP(B1218,'Currency Table'!$M$3:$N$6,2, FALSE)</f>
        <v>EUR</v>
      </c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</row>
    <row r="1219" ht="15.75" hidden="1" customHeight="1">
      <c r="A1219" s="3" t="s">
        <v>380</v>
      </c>
      <c r="B1219" s="3" t="s">
        <v>330</v>
      </c>
      <c r="C1219" s="3" t="s">
        <v>331</v>
      </c>
      <c r="D1219" s="4">
        <v>45670.0</v>
      </c>
      <c r="E1219" s="3">
        <v>38.0</v>
      </c>
      <c r="F1219" s="5">
        <v>2.0</v>
      </c>
      <c r="G1219" s="3">
        <v>593.0</v>
      </c>
      <c r="H1219" s="3" t="str">
        <f>VLOOKUP(B1219,'Currency Table'!$M$3:$N$6,2, FALSE)</f>
        <v>EUR</v>
      </c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</row>
    <row r="1220" ht="15.75" hidden="1" customHeight="1">
      <c r="A1220" s="3" t="s">
        <v>372</v>
      </c>
      <c r="B1220" s="3" t="s">
        <v>330</v>
      </c>
      <c r="C1220" s="3" t="s">
        <v>340</v>
      </c>
      <c r="D1220" s="4">
        <v>45670.0</v>
      </c>
      <c r="E1220" s="3">
        <v>23.0</v>
      </c>
      <c r="F1220" s="5">
        <v>3.0</v>
      </c>
      <c r="G1220" s="3">
        <v>430.0</v>
      </c>
      <c r="H1220" s="3" t="str">
        <f>VLOOKUP(B1220,'Currency Table'!$M$3:$N$6,2, FALSE)</f>
        <v>EUR</v>
      </c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</row>
    <row r="1221" ht="15.75" hidden="1" customHeight="1">
      <c r="A1221" s="3" t="s">
        <v>404</v>
      </c>
      <c r="B1221" s="3" t="s">
        <v>330</v>
      </c>
      <c r="C1221" s="3" t="s">
        <v>352</v>
      </c>
      <c r="D1221" s="4">
        <v>45670.0</v>
      </c>
      <c r="E1221" s="3">
        <v>41.0</v>
      </c>
      <c r="F1221" s="5">
        <v>2.0</v>
      </c>
      <c r="G1221" s="3">
        <v>569.0</v>
      </c>
      <c r="H1221" s="3" t="str">
        <f>VLOOKUP(B1221,'Currency Table'!$M$3:$N$6,2, FALSE)</f>
        <v>EUR</v>
      </c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</row>
    <row r="1222" ht="15.75" hidden="1" customHeight="1">
      <c r="A1222" s="3" t="s">
        <v>399</v>
      </c>
      <c r="B1222" s="3" t="s">
        <v>330</v>
      </c>
      <c r="C1222" s="3" t="s">
        <v>347</v>
      </c>
      <c r="D1222" s="4">
        <v>45670.0</v>
      </c>
      <c r="E1222" s="3">
        <v>34.0</v>
      </c>
      <c r="F1222" s="5">
        <v>5.0</v>
      </c>
      <c r="G1222" s="3">
        <v>569.0</v>
      </c>
      <c r="H1222" s="3" t="str">
        <f>VLOOKUP(B1222,'Currency Table'!$M$3:$N$6,2, FALSE)</f>
        <v>EUR</v>
      </c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</row>
    <row r="1223" ht="15.75" hidden="1" customHeight="1">
      <c r="A1223" s="3" t="s">
        <v>405</v>
      </c>
      <c r="B1223" s="3" t="s">
        <v>330</v>
      </c>
      <c r="C1223" s="3" t="s">
        <v>352</v>
      </c>
      <c r="D1223" s="4">
        <v>45670.0</v>
      </c>
      <c r="E1223" s="3">
        <v>57.0</v>
      </c>
      <c r="F1223" s="5">
        <v>3.0</v>
      </c>
      <c r="G1223" s="3">
        <v>810.0</v>
      </c>
      <c r="H1223" s="3" t="str">
        <f>VLOOKUP(B1223,'Currency Table'!$M$3:$N$6,2, FALSE)</f>
        <v>EUR</v>
      </c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</row>
    <row r="1224" ht="15.75" hidden="1" customHeight="1">
      <c r="A1224" s="3" t="s">
        <v>373</v>
      </c>
      <c r="B1224" s="3" t="s">
        <v>330</v>
      </c>
      <c r="C1224" s="3" t="s">
        <v>340</v>
      </c>
      <c r="D1224" s="4">
        <v>45670.0</v>
      </c>
      <c r="E1224" s="3">
        <v>69.0</v>
      </c>
      <c r="F1224" s="5">
        <v>0.0</v>
      </c>
      <c r="G1224" s="3">
        <v>1050.0</v>
      </c>
      <c r="H1224" s="3" t="str">
        <f>VLOOKUP(B1224,'Currency Table'!$M$3:$N$6,2, FALSE)</f>
        <v>EUR</v>
      </c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</row>
    <row r="1225" ht="15.75" hidden="1" customHeight="1">
      <c r="A1225" s="3" t="s">
        <v>408</v>
      </c>
      <c r="B1225" s="3" t="s">
        <v>330</v>
      </c>
      <c r="C1225" s="3" t="s">
        <v>352</v>
      </c>
      <c r="D1225" s="4">
        <v>45670.0</v>
      </c>
      <c r="E1225" s="3">
        <v>44.0</v>
      </c>
      <c r="F1225" s="5">
        <v>0.0</v>
      </c>
      <c r="G1225" s="3">
        <v>534.0</v>
      </c>
      <c r="H1225" s="3" t="str">
        <f>VLOOKUP(B1225,'Currency Table'!$M$3:$N$6,2, FALSE)</f>
        <v>EUR</v>
      </c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</row>
    <row r="1226" ht="15.75" hidden="1" customHeight="1">
      <c r="A1226" s="3" t="s">
        <v>362</v>
      </c>
      <c r="B1226" s="3" t="s">
        <v>330</v>
      </c>
      <c r="C1226" s="3" t="s">
        <v>333</v>
      </c>
      <c r="D1226" s="4">
        <v>45670.0</v>
      </c>
      <c r="E1226" s="3">
        <v>29.0</v>
      </c>
      <c r="F1226" s="5">
        <v>2.0</v>
      </c>
      <c r="G1226" s="3">
        <v>256.0</v>
      </c>
      <c r="H1226" s="3" t="str">
        <f>VLOOKUP(B1226,'Currency Table'!$M$3:$N$6,2, FALSE)</f>
        <v>EUR</v>
      </c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</row>
    <row r="1227" ht="15.75" hidden="1" customHeight="1">
      <c r="A1227" s="3" t="s">
        <v>382</v>
      </c>
      <c r="B1227" s="3" t="s">
        <v>330</v>
      </c>
      <c r="C1227" s="3" t="s">
        <v>331</v>
      </c>
      <c r="D1227" s="4">
        <v>45670.0</v>
      </c>
      <c r="E1227" s="3">
        <v>20.0</v>
      </c>
      <c r="F1227" s="5">
        <v>1.0</v>
      </c>
      <c r="G1227" s="3">
        <v>440.0</v>
      </c>
      <c r="H1227" s="3" t="str">
        <f>VLOOKUP(B1227,'Currency Table'!$M$3:$N$6,2, FALSE)</f>
        <v>EUR</v>
      </c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</row>
    <row r="1228" ht="15.75" hidden="1" customHeight="1">
      <c r="A1228" s="3" t="s">
        <v>369</v>
      </c>
      <c r="B1228" s="3" t="s">
        <v>330</v>
      </c>
      <c r="C1228" s="3" t="s">
        <v>333</v>
      </c>
      <c r="D1228" s="4">
        <v>45670.0</v>
      </c>
      <c r="E1228" s="3">
        <v>55.0</v>
      </c>
      <c r="F1228" s="5">
        <v>2.0</v>
      </c>
      <c r="G1228" s="3">
        <v>896.0</v>
      </c>
      <c r="H1228" s="3" t="str">
        <f>VLOOKUP(B1228,'Currency Table'!$M$3:$N$6,2, FALSE)</f>
        <v>EUR</v>
      </c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</row>
    <row r="1229" ht="15.75" hidden="1" customHeight="1">
      <c r="A1229" s="3" t="s">
        <v>397</v>
      </c>
      <c r="B1229" s="3" t="s">
        <v>330</v>
      </c>
      <c r="C1229" s="3" t="s">
        <v>335</v>
      </c>
      <c r="D1229" s="4">
        <v>45670.0</v>
      </c>
      <c r="E1229" s="3">
        <v>53.0</v>
      </c>
      <c r="F1229" s="5">
        <v>2.0</v>
      </c>
      <c r="G1229" s="3">
        <v>852.0</v>
      </c>
      <c r="H1229" s="3" t="str">
        <f>VLOOKUP(B1229,'Currency Table'!$M$3:$N$6,2, FALSE)</f>
        <v>EUR</v>
      </c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</row>
    <row r="1230" ht="15.75" hidden="1" customHeight="1">
      <c r="A1230" s="3" t="s">
        <v>434</v>
      </c>
      <c r="B1230" s="3" t="s">
        <v>330</v>
      </c>
      <c r="C1230" s="3" t="s">
        <v>352</v>
      </c>
      <c r="D1230" s="4">
        <v>45670.0</v>
      </c>
      <c r="E1230" s="3">
        <v>55.0</v>
      </c>
      <c r="F1230" s="5">
        <v>3.0</v>
      </c>
      <c r="G1230" s="3">
        <v>787.0</v>
      </c>
      <c r="H1230" s="3" t="str">
        <f>VLOOKUP(B1230,'Currency Table'!$M$3:$N$6,2, FALSE)</f>
        <v>EUR</v>
      </c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</row>
    <row r="1231" ht="15.75" hidden="1" customHeight="1">
      <c r="A1231" s="3" t="s">
        <v>376</v>
      </c>
      <c r="B1231" s="3" t="s">
        <v>330</v>
      </c>
      <c r="C1231" s="3" t="s">
        <v>333</v>
      </c>
      <c r="D1231" s="4">
        <v>45670.0</v>
      </c>
      <c r="E1231" s="3">
        <v>51.0</v>
      </c>
      <c r="F1231" s="5">
        <v>1.0</v>
      </c>
      <c r="G1231" s="3">
        <v>798.0</v>
      </c>
      <c r="H1231" s="3" t="str">
        <f>VLOOKUP(B1231,'Currency Table'!$M$3:$N$6,2, FALSE)</f>
        <v>EUR</v>
      </c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</row>
    <row r="1232" ht="15.75" hidden="1" customHeight="1">
      <c r="A1232" s="3" t="s">
        <v>388</v>
      </c>
      <c r="B1232" s="3" t="s">
        <v>330</v>
      </c>
      <c r="C1232" s="3" t="s">
        <v>338</v>
      </c>
      <c r="D1232" s="4">
        <v>45670.0</v>
      </c>
      <c r="E1232" s="3">
        <v>24.0</v>
      </c>
      <c r="F1232" s="5">
        <v>2.0</v>
      </c>
      <c r="G1232" s="3">
        <v>315.0</v>
      </c>
      <c r="H1232" s="3" t="str">
        <f>VLOOKUP(B1232,'Currency Table'!$M$3:$N$6,2, FALSE)</f>
        <v>EUR</v>
      </c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</row>
    <row r="1233" ht="15.75" hidden="1" customHeight="1">
      <c r="A1233" s="3" t="s">
        <v>374</v>
      </c>
      <c r="B1233" s="3" t="s">
        <v>330</v>
      </c>
      <c r="C1233" s="3" t="s">
        <v>340</v>
      </c>
      <c r="D1233" s="4">
        <v>45670.0</v>
      </c>
      <c r="E1233" s="3">
        <v>52.0</v>
      </c>
      <c r="F1233" s="5">
        <v>0.0</v>
      </c>
      <c r="G1233" s="3">
        <v>739.0</v>
      </c>
      <c r="H1233" s="3" t="str">
        <f>VLOOKUP(B1233,'Currency Table'!$M$3:$N$6,2, FALSE)</f>
        <v>EUR</v>
      </c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</row>
    <row r="1234" ht="15.75" hidden="1" customHeight="1">
      <c r="A1234" s="3" t="s">
        <v>378</v>
      </c>
      <c r="B1234" s="3" t="s">
        <v>330</v>
      </c>
      <c r="C1234" s="3" t="s">
        <v>333</v>
      </c>
      <c r="D1234" s="4">
        <v>45670.0</v>
      </c>
      <c r="E1234" s="3">
        <v>68.0</v>
      </c>
      <c r="F1234" s="5">
        <v>5.0</v>
      </c>
      <c r="G1234" s="3">
        <v>1042.0</v>
      </c>
      <c r="H1234" s="3" t="str">
        <f>VLOOKUP(B1234,'Currency Table'!$M$3:$N$6,2, FALSE)</f>
        <v>EUR</v>
      </c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</row>
    <row r="1235" ht="15.75" hidden="1" customHeight="1">
      <c r="A1235" s="3" t="s">
        <v>379</v>
      </c>
      <c r="B1235" s="3" t="s">
        <v>330</v>
      </c>
      <c r="C1235" s="3" t="s">
        <v>333</v>
      </c>
      <c r="D1235" s="4">
        <v>45670.0</v>
      </c>
      <c r="E1235" s="3">
        <v>51.0</v>
      </c>
      <c r="F1235" s="5">
        <v>1.0</v>
      </c>
      <c r="G1235" s="3">
        <v>889.0</v>
      </c>
      <c r="H1235" s="3" t="str">
        <f>VLOOKUP(B1235,'Currency Table'!$M$3:$N$6,2, FALSE)</f>
        <v>EUR</v>
      </c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</row>
    <row r="1236" ht="15.75" hidden="1" customHeight="1">
      <c r="A1236" s="3" t="s">
        <v>403</v>
      </c>
      <c r="B1236" s="3" t="s">
        <v>330</v>
      </c>
      <c r="C1236" s="3" t="s">
        <v>347</v>
      </c>
      <c r="D1236" s="4">
        <v>45670.0</v>
      </c>
      <c r="E1236" s="3">
        <v>13.0</v>
      </c>
      <c r="F1236" s="5">
        <v>0.0</v>
      </c>
      <c r="G1236" s="3">
        <v>249.0</v>
      </c>
      <c r="H1236" s="3" t="str">
        <f>VLOOKUP(B1236,'Currency Table'!$M$3:$N$6,2, FALSE)</f>
        <v>EUR</v>
      </c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</row>
    <row r="1237" ht="15.75" hidden="1" customHeight="1">
      <c r="A1237" s="3" t="s">
        <v>435</v>
      </c>
      <c r="B1237" s="3" t="s">
        <v>330</v>
      </c>
      <c r="C1237" s="3" t="s">
        <v>352</v>
      </c>
      <c r="D1237" s="4">
        <v>45670.0</v>
      </c>
      <c r="E1237" s="3">
        <v>65.0</v>
      </c>
      <c r="F1237" s="5">
        <v>0.0</v>
      </c>
      <c r="G1237" s="3">
        <v>1049.0</v>
      </c>
      <c r="H1237" s="3" t="str">
        <f>VLOOKUP(B1237,'Currency Table'!$M$3:$N$6,2, FALSE)</f>
        <v>EUR</v>
      </c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</row>
    <row r="1238" ht="15.75" hidden="1" customHeight="1">
      <c r="A1238" s="3" t="s">
        <v>401</v>
      </c>
      <c r="B1238" s="3" t="s">
        <v>330</v>
      </c>
      <c r="C1238" s="3" t="s">
        <v>335</v>
      </c>
      <c r="D1238" s="4">
        <v>45670.0</v>
      </c>
      <c r="E1238" s="3">
        <v>57.0</v>
      </c>
      <c r="F1238" s="5">
        <v>4.0</v>
      </c>
      <c r="G1238" s="3">
        <v>780.0</v>
      </c>
      <c r="H1238" s="3" t="str">
        <f>VLOOKUP(B1238,'Currency Table'!$M$3:$N$6,2, FALSE)</f>
        <v>EUR</v>
      </c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</row>
    <row r="1239" ht="15.75" hidden="1" customHeight="1">
      <c r="A1239" s="3" t="s">
        <v>387</v>
      </c>
      <c r="B1239" s="3" t="s">
        <v>330</v>
      </c>
      <c r="C1239" s="3" t="s">
        <v>331</v>
      </c>
      <c r="D1239" s="4">
        <v>45670.0</v>
      </c>
      <c r="E1239" s="3">
        <v>21.0</v>
      </c>
      <c r="F1239" s="5">
        <v>4.0</v>
      </c>
      <c r="G1239" s="3">
        <v>303.0</v>
      </c>
      <c r="H1239" s="3" t="str">
        <f>VLOOKUP(B1239,'Currency Table'!$M$3:$N$6,2, FALSE)</f>
        <v>EUR</v>
      </c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</row>
    <row r="1240" ht="15.75" hidden="1" customHeight="1">
      <c r="A1240" s="3" t="s">
        <v>411</v>
      </c>
      <c r="B1240" s="3" t="s">
        <v>330</v>
      </c>
      <c r="C1240" s="3" t="s">
        <v>338</v>
      </c>
      <c r="D1240" s="4">
        <v>45670.0</v>
      </c>
      <c r="E1240" s="3">
        <v>60.0</v>
      </c>
      <c r="F1240" s="5">
        <v>5.0</v>
      </c>
      <c r="G1240" s="3">
        <v>715.0</v>
      </c>
      <c r="H1240" s="3" t="str">
        <f>VLOOKUP(B1240,'Currency Table'!$M$3:$N$6,2, FALSE)</f>
        <v>EUR</v>
      </c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</row>
    <row r="1241" ht="15.75" hidden="1" customHeight="1">
      <c r="A1241" s="3" t="s">
        <v>381</v>
      </c>
      <c r="B1241" s="3" t="s">
        <v>330</v>
      </c>
      <c r="C1241" s="3" t="s">
        <v>333</v>
      </c>
      <c r="D1241" s="4">
        <v>45670.0</v>
      </c>
      <c r="E1241" s="3">
        <v>21.0</v>
      </c>
      <c r="F1241" s="5">
        <v>2.0</v>
      </c>
      <c r="G1241" s="3">
        <v>365.0</v>
      </c>
      <c r="H1241" s="3" t="str">
        <f>VLOOKUP(B1241,'Currency Table'!$M$3:$N$6,2, FALSE)</f>
        <v>EUR</v>
      </c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</row>
    <row r="1242" ht="15.75" hidden="1" customHeight="1">
      <c r="A1242" s="3" t="s">
        <v>389</v>
      </c>
      <c r="B1242" s="3" t="s">
        <v>330</v>
      </c>
      <c r="C1242" s="3" t="s">
        <v>340</v>
      </c>
      <c r="D1242" s="4">
        <v>45670.0</v>
      </c>
      <c r="E1242" s="3">
        <v>23.0</v>
      </c>
      <c r="F1242" s="5">
        <v>1.0</v>
      </c>
      <c r="G1242" s="3">
        <v>340.0</v>
      </c>
      <c r="H1242" s="3" t="str">
        <f>VLOOKUP(B1242,'Currency Table'!$M$3:$N$6,2, FALSE)</f>
        <v>EUR</v>
      </c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</row>
    <row r="1243" ht="15.75" hidden="1" customHeight="1">
      <c r="A1243" s="3" t="s">
        <v>409</v>
      </c>
      <c r="B1243" s="3" t="s">
        <v>330</v>
      </c>
      <c r="C1243" s="3" t="s">
        <v>347</v>
      </c>
      <c r="D1243" s="4">
        <v>45670.0</v>
      </c>
      <c r="E1243" s="3">
        <v>53.0</v>
      </c>
      <c r="F1243" s="5">
        <v>1.0</v>
      </c>
      <c r="G1243" s="3">
        <v>893.0</v>
      </c>
      <c r="H1243" s="3" t="str">
        <f>VLOOKUP(B1243,'Currency Table'!$M$3:$N$6,2, FALSE)</f>
        <v>EUR</v>
      </c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</row>
    <row r="1244" ht="15.75" hidden="1" customHeight="1">
      <c r="A1244" s="3" t="s">
        <v>420</v>
      </c>
      <c r="B1244" s="3" t="s">
        <v>330</v>
      </c>
      <c r="C1244" s="3" t="s">
        <v>347</v>
      </c>
      <c r="D1244" s="4">
        <v>45670.0</v>
      </c>
      <c r="E1244" s="3">
        <v>57.0</v>
      </c>
      <c r="F1244" s="5">
        <v>2.0</v>
      </c>
      <c r="G1244" s="3">
        <v>837.0</v>
      </c>
      <c r="H1244" s="3" t="str">
        <f>VLOOKUP(B1244,'Currency Table'!$M$3:$N$6,2, FALSE)</f>
        <v>EUR</v>
      </c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</row>
    <row r="1245" ht="15.75" hidden="1" customHeight="1">
      <c r="A1245" s="3" t="s">
        <v>395</v>
      </c>
      <c r="B1245" s="3" t="s">
        <v>330</v>
      </c>
      <c r="C1245" s="3" t="s">
        <v>333</v>
      </c>
      <c r="D1245" s="4">
        <v>45670.0</v>
      </c>
      <c r="E1245" s="3">
        <v>21.0</v>
      </c>
      <c r="F1245" s="5">
        <v>4.0</v>
      </c>
      <c r="G1245" s="3">
        <v>335.0</v>
      </c>
      <c r="H1245" s="3" t="str">
        <f>VLOOKUP(B1245,'Currency Table'!$M$3:$N$6,2, FALSE)</f>
        <v>EUR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</row>
    <row r="1246" ht="15.75" hidden="1" customHeight="1">
      <c r="A1246" s="3" t="s">
        <v>410</v>
      </c>
      <c r="B1246" s="3" t="s">
        <v>330</v>
      </c>
      <c r="C1246" s="3" t="s">
        <v>340</v>
      </c>
      <c r="D1246" s="4">
        <v>45670.0</v>
      </c>
      <c r="E1246" s="3">
        <v>27.0</v>
      </c>
      <c r="F1246" s="5">
        <v>4.0</v>
      </c>
      <c r="G1246" s="3">
        <v>397.0</v>
      </c>
      <c r="H1246" s="3" t="str">
        <f>VLOOKUP(B1246,'Currency Table'!$M$3:$N$6,2, FALSE)</f>
        <v>EUR</v>
      </c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</row>
    <row r="1247" ht="15.75" hidden="1" customHeight="1">
      <c r="A1247" s="3" t="s">
        <v>423</v>
      </c>
      <c r="B1247" s="3" t="s">
        <v>330</v>
      </c>
      <c r="C1247" s="3" t="s">
        <v>338</v>
      </c>
      <c r="D1247" s="4">
        <v>45670.0</v>
      </c>
      <c r="E1247" s="3">
        <v>19.0</v>
      </c>
      <c r="F1247" s="5">
        <v>2.0</v>
      </c>
      <c r="G1247" s="3">
        <v>365.0</v>
      </c>
      <c r="H1247" s="3" t="str">
        <f>VLOOKUP(B1247,'Currency Table'!$M$3:$N$6,2, FALSE)</f>
        <v>EUR</v>
      </c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</row>
    <row r="1248" ht="15.75" hidden="1" customHeight="1">
      <c r="A1248" s="3" t="s">
        <v>402</v>
      </c>
      <c r="B1248" s="3" t="s">
        <v>330</v>
      </c>
      <c r="C1248" s="3" t="s">
        <v>333</v>
      </c>
      <c r="D1248" s="4">
        <v>45670.0</v>
      </c>
      <c r="E1248" s="3">
        <v>30.0</v>
      </c>
      <c r="F1248" s="5">
        <v>2.0</v>
      </c>
      <c r="G1248" s="3">
        <v>403.0</v>
      </c>
      <c r="H1248" s="3" t="str">
        <f>VLOOKUP(B1248,'Currency Table'!$M$3:$N$6,2, FALSE)</f>
        <v>EUR</v>
      </c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</row>
    <row r="1249" ht="15.75" hidden="1" customHeight="1">
      <c r="A1249" s="3" t="s">
        <v>426</v>
      </c>
      <c r="B1249" s="3" t="s">
        <v>330</v>
      </c>
      <c r="C1249" s="3" t="s">
        <v>338</v>
      </c>
      <c r="D1249" s="4">
        <v>45670.0</v>
      </c>
      <c r="E1249" s="3">
        <v>11.0</v>
      </c>
      <c r="F1249" s="5">
        <v>0.0</v>
      </c>
      <c r="G1249" s="3">
        <v>183.0</v>
      </c>
      <c r="H1249" s="3" t="str">
        <f>VLOOKUP(B1249,'Currency Table'!$M$3:$N$6,2, FALSE)</f>
        <v>EUR</v>
      </c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</row>
    <row r="1250" ht="15.75" hidden="1" customHeight="1">
      <c r="A1250" s="3" t="s">
        <v>422</v>
      </c>
      <c r="B1250" s="3" t="s">
        <v>330</v>
      </c>
      <c r="C1250" s="3" t="s">
        <v>335</v>
      </c>
      <c r="D1250" s="4">
        <v>45670.0</v>
      </c>
      <c r="E1250" s="3">
        <v>54.0</v>
      </c>
      <c r="F1250" s="5">
        <v>3.0</v>
      </c>
      <c r="G1250" s="3">
        <v>740.0</v>
      </c>
      <c r="H1250" s="3" t="str">
        <f>VLOOKUP(B1250,'Currency Table'!$M$3:$N$6,2, FALSE)</f>
        <v>EUR</v>
      </c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</row>
    <row r="1251" ht="15.75" hidden="1" customHeight="1">
      <c r="A1251" s="3" t="s">
        <v>412</v>
      </c>
      <c r="B1251" s="3" t="s">
        <v>330</v>
      </c>
      <c r="C1251" s="3" t="s">
        <v>340</v>
      </c>
      <c r="D1251" s="4">
        <v>45670.0</v>
      </c>
      <c r="E1251" s="3">
        <v>39.0</v>
      </c>
      <c r="F1251" s="5">
        <v>4.0</v>
      </c>
      <c r="G1251" s="3">
        <v>541.0</v>
      </c>
      <c r="H1251" s="3" t="str">
        <f>VLOOKUP(B1251,'Currency Table'!$M$3:$N$6,2, FALSE)</f>
        <v>EUR</v>
      </c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</row>
    <row r="1252" ht="15.75" hidden="1" customHeight="1">
      <c r="A1252" s="3" t="s">
        <v>427</v>
      </c>
      <c r="B1252" s="3" t="s">
        <v>330</v>
      </c>
      <c r="C1252" s="3" t="s">
        <v>338</v>
      </c>
      <c r="D1252" s="4">
        <v>45670.0</v>
      </c>
      <c r="E1252" s="3">
        <v>50.0</v>
      </c>
      <c r="F1252" s="5">
        <v>3.0</v>
      </c>
      <c r="G1252" s="3">
        <v>869.0</v>
      </c>
      <c r="H1252" s="3" t="str">
        <f>VLOOKUP(B1252,'Currency Table'!$M$3:$N$6,2, FALSE)</f>
        <v>EUR</v>
      </c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</row>
    <row r="1253" ht="15.75" hidden="1" customHeight="1">
      <c r="A1253" s="3" t="s">
        <v>417</v>
      </c>
      <c r="B1253" s="3" t="s">
        <v>330</v>
      </c>
      <c r="C1253" s="3" t="s">
        <v>333</v>
      </c>
      <c r="D1253" s="4">
        <v>45670.0</v>
      </c>
      <c r="E1253" s="3">
        <v>44.0</v>
      </c>
      <c r="F1253" s="5">
        <v>3.0</v>
      </c>
      <c r="G1253" s="3">
        <v>561.0</v>
      </c>
      <c r="H1253" s="3" t="str">
        <f>VLOOKUP(B1253,'Currency Table'!$M$3:$N$6,2, FALSE)</f>
        <v>EUR</v>
      </c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</row>
    <row r="1254" ht="15.75" hidden="1" customHeight="1">
      <c r="A1254" s="3" t="s">
        <v>421</v>
      </c>
      <c r="B1254" s="3" t="s">
        <v>330</v>
      </c>
      <c r="C1254" s="3" t="s">
        <v>347</v>
      </c>
      <c r="D1254" s="4">
        <v>45670.0</v>
      </c>
      <c r="E1254" s="3">
        <v>28.0</v>
      </c>
      <c r="F1254" s="5">
        <v>4.0</v>
      </c>
      <c r="G1254" s="3">
        <v>259.0</v>
      </c>
      <c r="H1254" s="3" t="str">
        <f>VLOOKUP(B1254,'Currency Table'!$M$3:$N$6,2, FALSE)</f>
        <v>EUR</v>
      </c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</row>
    <row r="1255" ht="15.75" hidden="1" customHeight="1">
      <c r="A1255" s="3" t="s">
        <v>433</v>
      </c>
      <c r="B1255" s="3" t="s">
        <v>330</v>
      </c>
      <c r="C1255" s="3" t="s">
        <v>338</v>
      </c>
      <c r="D1255" s="4">
        <v>45670.0</v>
      </c>
      <c r="E1255" s="3">
        <v>23.0</v>
      </c>
      <c r="F1255" s="5">
        <v>3.0</v>
      </c>
      <c r="G1255" s="3">
        <v>319.0</v>
      </c>
      <c r="H1255" s="3" t="str">
        <f>VLOOKUP(B1255,'Currency Table'!$M$3:$N$6,2, FALSE)</f>
        <v>EUR</v>
      </c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</row>
    <row r="1256" ht="15.75" hidden="1" customHeight="1">
      <c r="A1256" s="3" t="s">
        <v>436</v>
      </c>
      <c r="B1256" s="3" t="s">
        <v>330</v>
      </c>
      <c r="C1256" s="3" t="s">
        <v>333</v>
      </c>
      <c r="D1256" s="4">
        <v>45670.0</v>
      </c>
      <c r="E1256" s="3">
        <v>44.0</v>
      </c>
      <c r="F1256" s="5">
        <v>4.0</v>
      </c>
      <c r="G1256" s="3">
        <v>526.0</v>
      </c>
      <c r="H1256" s="3" t="str">
        <f>VLOOKUP(B1256,'Currency Table'!$M$3:$N$6,2, FALSE)</f>
        <v>EUR</v>
      </c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</row>
    <row r="1257" ht="15.75" hidden="1" customHeight="1">
      <c r="A1257" s="3" t="s">
        <v>437</v>
      </c>
      <c r="B1257" s="3" t="s">
        <v>330</v>
      </c>
      <c r="C1257" s="3" t="s">
        <v>333</v>
      </c>
      <c r="D1257" s="4">
        <v>45670.0</v>
      </c>
      <c r="E1257" s="3">
        <v>57.0</v>
      </c>
      <c r="F1257" s="5">
        <v>2.0</v>
      </c>
      <c r="G1257" s="3">
        <v>762.0</v>
      </c>
      <c r="H1257" s="3" t="str">
        <f>VLOOKUP(B1257,'Currency Table'!$M$3:$N$6,2, FALSE)</f>
        <v>EUR</v>
      </c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</row>
    <row r="1258" ht="15.75" hidden="1" customHeight="1">
      <c r="A1258" s="3" t="s">
        <v>430</v>
      </c>
      <c r="B1258" s="3" t="s">
        <v>330</v>
      </c>
      <c r="C1258" s="3" t="s">
        <v>347</v>
      </c>
      <c r="D1258" s="4">
        <v>45670.0</v>
      </c>
      <c r="E1258" s="3">
        <v>34.0</v>
      </c>
      <c r="F1258" s="5">
        <v>5.0</v>
      </c>
      <c r="G1258" s="3">
        <v>593.0</v>
      </c>
      <c r="H1258" s="3" t="str">
        <f>VLOOKUP(B1258,'Currency Table'!$M$3:$N$6,2, FALSE)</f>
        <v>EUR</v>
      </c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</row>
    <row r="1259" ht="15.75" hidden="1" customHeight="1">
      <c r="A1259" s="3" t="s">
        <v>390</v>
      </c>
      <c r="B1259" s="3" t="s">
        <v>330</v>
      </c>
      <c r="C1259" s="3" t="s">
        <v>331</v>
      </c>
      <c r="D1259" s="4">
        <v>45670.0</v>
      </c>
      <c r="E1259" s="3">
        <v>40.0</v>
      </c>
      <c r="F1259" s="5">
        <v>4.0</v>
      </c>
      <c r="G1259" s="3">
        <v>532.0</v>
      </c>
      <c r="H1259" s="3" t="str">
        <f>VLOOKUP(B1259,'Currency Table'!$M$3:$N$6,2, FALSE)</f>
        <v>EUR</v>
      </c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</row>
    <row r="1260" ht="15.75" hidden="1" customHeight="1">
      <c r="A1260" s="3" t="s">
        <v>396</v>
      </c>
      <c r="B1260" s="3" t="s">
        <v>330</v>
      </c>
      <c r="C1260" s="3" t="s">
        <v>331</v>
      </c>
      <c r="D1260" s="4">
        <v>45670.0</v>
      </c>
      <c r="E1260" s="3">
        <v>30.0</v>
      </c>
      <c r="F1260" s="5">
        <v>3.0</v>
      </c>
      <c r="G1260" s="3">
        <v>425.0</v>
      </c>
      <c r="H1260" s="3" t="str">
        <f>VLOOKUP(B1260,'Currency Table'!$M$3:$N$6,2, FALSE)</f>
        <v>EUR</v>
      </c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</row>
    <row r="1261" ht="15.75" hidden="1" customHeight="1">
      <c r="A1261" s="3" t="s">
        <v>406</v>
      </c>
      <c r="B1261" s="3" t="s">
        <v>330</v>
      </c>
      <c r="C1261" s="3" t="s">
        <v>331</v>
      </c>
      <c r="D1261" s="4">
        <v>45670.0</v>
      </c>
      <c r="E1261" s="3">
        <v>12.0</v>
      </c>
      <c r="F1261" s="5">
        <v>0.0</v>
      </c>
      <c r="G1261" s="3">
        <v>230.0</v>
      </c>
      <c r="H1261" s="3" t="str">
        <f>VLOOKUP(B1261,'Currency Table'!$M$3:$N$6,2, FALSE)</f>
        <v>EUR</v>
      </c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</row>
    <row r="1262" ht="15.75" hidden="1" customHeight="1">
      <c r="A1262" s="3" t="s">
        <v>419</v>
      </c>
      <c r="B1262" s="3" t="s">
        <v>330</v>
      </c>
      <c r="C1262" s="3" t="s">
        <v>331</v>
      </c>
      <c r="D1262" s="4">
        <v>45670.0</v>
      </c>
      <c r="E1262" s="3">
        <v>32.0</v>
      </c>
      <c r="F1262" s="5">
        <v>1.0</v>
      </c>
      <c r="G1262" s="3">
        <v>634.0</v>
      </c>
      <c r="H1262" s="3" t="str">
        <f>VLOOKUP(B1262,'Currency Table'!$M$3:$N$6,2, FALSE)</f>
        <v>EUR</v>
      </c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</row>
    <row r="1263" ht="15.75" hidden="1" customHeight="1">
      <c r="A1263" s="3" t="s">
        <v>413</v>
      </c>
      <c r="B1263" s="3" t="s">
        <v>330</v>
      </c>
      <c r="C1263" s="3" t="s">
        <v>340</v>
      </c>
      <c r="D1263" s="4">
        <v>45670.0</v>
      </c>
      <c r="E1263" s="3">
        <v>64.0</v>
      </c>
      <c r="F1263" s="5">
        <v>5.0</v>
      </c>
      <c r="G1263" s="3">
        <v>988.0</v>
      </c>
      <c r="H1263" s="3" t="str">
        <f>VLOOKUP(B1263,'Currency Table'!$M$3:$N$6,2, FALSE)</f>
        <v>EUR</v>
      </c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</row>
    <row r="1264" ht="15.75" hidden="1" customHeight="1">
      <c r="A1264" s="3" t="s">
        <v>438</v>
      </c>
      <c r="B1264" s="3" t="s">
        <v>330</v>
      </c>
      <c r="C1264" s="3" t="s">
        <v>333</v>
      </c>
      <c r="D1264" s="4">
        <v>45670.0</v>
      </c>
      <c r="E1264" s="3">
        <v>14.0</v>
      </c>
      <c r="F1264" s="5">
        <v>2.0</v>
      </c>
      <c r="G1264" s="3">
        <v>185.0</v>
      </c>
      <c r="H1264" s="3" t="str">
        <f>VLOOKUP(B1264,'Currency Table'!$M$3:$N$6,2, FALSE)</f>
        <v>EUR</v>
      </c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</row>
    <row r="1265" ht="15.75" hidden="1" customHeight="1">
      <c r="A1265" s="3" t="s">
        <v>414</v>
      </c>
      <c r="B1265" s="3" t="s">
        <v>330</v>
      </c>
      <c r="C1265" s="3" t="s">
        <v>340</v>
      </c>
      <c r="D1265" s="4">
        <v>45670.0</v>
      </c>
      <c r="E1265" s="3">
        <v>66.0</v>
      </c>
      <c r="F1265" s="5">
        <v>5.0</v>
      </c>
      <c r="G1265" s="3">
        <v>1003.0</v>
      </c>
      <c r="H1265" s="3" t="str">
        <f>VLOOKUP(B1265,'Currency Table'!$M$3:$N$6,2, FALSE)</f>
        <v>EUR</v>
      </c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</row>
    <row r="1266" ht="15.75" hidden="1" customHeight="1">
      <c r="A1266" s="3" t="s">
        <v>424</v>
      </c>
      <c r="B1266" s="3" t="s">
        <v>330</v>
      </c>
      <c r="C1266" s="3" t="s">
        <v>331</v>
      </c>
      <c r="D1266" s="4">
        <v>45670.0</v>
      </c>
      <c r="E1266" s="3">
        <v>50.0</v>
      </c>
      <c r="F1266" s="5">
        <v>4.0</v>
      </c>
      <c r="G1266" s="3">
        <v>886.0</v>
      </c>
      <c r="H1266" s="3" t="str">
        <f>VLOOKUP(B1266,'Currency Table'!$M$3:$N$6,2, FALSE)</f>
        <v>EUR</v>
      </c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</row>
    <row r="1267" ht="15.75" hidden="1" customHeight="1">
      <c r="A1267" s="3" t="s">
        <v>428</v>
      </c>
      <c r="B1267" s="3" t="s">
        <v>330</v>
      </c>
      <c r="C1267" s="3" t="s">
        <v>331</v>
      </c>
      <c r="D1267" s="4">
        <v>45670.0</v>
      </c>
      <c r="E1267" s="3">
        <v>20.0</v>
      </c>
      <c r="F1267" s="5">
        <v>0.0</v>
      </c>
      <c r="G1267" s="3">
        <v>304.0</v>
      </c>
      <c r="H1267" s="3" t="str">
        <f>VLOOKUP(B1267,'Currency Table'!$M$3:$N$6,2, FALSE)</f>
        <v>EUR</v>
      </c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</row>
    <row r="1268" ht="15.75" hidden="1" customHeight="1">
      <c r="A1268" s="3" t="s">
        <v>429</v>
      </c>
      <c r="B1268" s="3" t="s">
        <v>330</v>
      </c>
      <c r="C1268" s="3" t="s">
        <v>335</v>
      </c>
      <c r="D1268" s="4">
        <v>45670.0</v>
      </c>
      <c r="E1268" s="3">
        <v>33.0</v>
      </c>
      <c r="F1268" s="5">
        <v>3.0</v>
      </c>
      <c r="G1268" s="3">
        <v>542.0</v>
      </c>
      <c r="H1268" s="3" t="str">
        <f>VLOOKUP(B1268,'Currency Table'!$M$3:$N$6,2, FALSE)</f>
        <v>EUR</v>
      </c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</row>
    <row r="1269" ht="15.75" hidden="1" customHeight="1">
      <c r="A1269" s="3" t="s">
        <v>415</v>
      </c>
      <c r="B1269" s="3" t="s">
        <v>330</v>
      </c>
      <c r="C1269" s="3" t="s">
        <v>340</v>
      </c>
      <c r="D1269" s="4">
        <v>45670.0</v>
      </c>
      <c r="E1269" s="3">
        <v>15.0</v>
      </c>
      <c r="F1269" s="5">
        <v>1.0</v>
      </c>
      <c r="G1269" s="3">
        <v>195.0</v>
      </c>
      <c r="H1269" s="3" t="str">
        <f>VLOOKUP(B1269,'Currency Table'!$M$3:$N$6,2, FALSE)</f>
        <v>EUR</v>
      </c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</row>
    <row r="1270" ht="15.75" hidden="1" customHeight="1">
      <c r="A1270" s="3" t="s">
        <v>432</v>
      </c>
      <c r="B1270" s="3" t="s">
        <v>330</v>
      </c>
      <c r="C1270" s="3" t="s">
        <v>347</v>
      </c>
      <c r="D1270" s="4">
        <v>45670.0</v>
      </c>
      <c r="E1270" s="3">
        <v>55.0</v>
      </c>
      <c r="F1270" s="5">
        <v>5.0</v>
      </c>
      <c r="G1270" s="3">
        <v>840.0</v>
      </c>
      <c r="H1270" s="3" t="str">
        <f>VLOOKUP(B1270,'Currency Table'!$M$3:$N$6,2, FALSE)</f>
        <v>EUR</v>
      </c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</row>
    <row r="1271" ht="15.75" hidden="1" customHeight="1">
      <c r="A1271" s="3" t="s">
        <v>431</v>
      </c>
      <c r="B1271" s="3" t="s">
        <v>330</v>
      </c>
      <c r="C1271" s="3" t="s">
        <v>331</v>
      </c>
      <c r="D1271" s="4">
        <v>45670.0</v>
      </c>
      <c r="E1271" s="3">
        <v>21.0</v>
      </c>
      <c r="F1271" s="5">
        <v>2.0</v>
      </c>
      <c r="G1271" s="3">
        <v>478.0</v>
      </c>
      <c r="H1271" s="3" t="str">
        <f>VLOOKUP(B1271,'Currency Table'!$M$3:$N$6,2, FALSE)</f>
        <v>EUR</v>
      </c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</row>
    <row r="1272" ht="15.75" hidden="1" customHeight="1">
      <c r="A1272" s="3" t="s">
        <v>439</v>
      </c>
      <c r="B1272" s="3" t="s">
        <v>330</v>
      </c>
      <c r="C1272" s="3" t="s">
        <v>331</v>
      </c>
      <c r="D1272" s="4">
        <v>45670.0</v>
      </c>
      <c r="E1272" s="3">
        <v>13.0</v>
      </c>
      <c r="F1272" s="5">
        <v>5.0</v>
      </c>
      <c r="G1272" s="3">
        <v>197.0</v>
      </c>
      <c r="H1272" s="3" t="str">
        <f>VLOOKUP(B1272,'Currency Table'!$M$3:$N$6,2, FALSE)</f>
        <v>EUR</v>
      </c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</row>
    <row r="1273" ht="15.75" hidden="1" customHeight="1">
      <c r="A1273" s="3" t="s">
        <v>346</v>
      </c>
      <c r="B1273" s="3" t="s">
        <v>330</v>
      </c>
      <c r="C1273" s="3" t="s">
        <v>347</v>
      </c>
      <c r="D1273" s="4">
        <v>45677.0</v>
      </c>
      <c r="E1273" s="3">
        <v>29.0</v>
      </c>
      <c r="F1273" s="5">
        <v>1.0</v>
      </c>
      <c r="G1273" s="3">
        <v>428.0</v>
      </c>
      <c r="H1273" s="3" t="str">
        <f>VLOOKUP(B1273,'Currency Table'!$M$3:$N$6,2, FALSE)</f>
        <v>EUR</v>
      </c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</row>
    <row r="1274" ht="15.75" hidden="1" customHeight="1">
      <c r="A1274" s="3" t="s">
        <v>351</v>
      </c>
      <c r="B1274" s="3" t="s">
        <v>330</v>
      </c>
      <c r="C1274" s="3" t="s">
        <v>352</v>
      </c>
      <c r="D1274" s="4">
        <v>45677.0</v>
      </c>
      <c r="E1274" s="3">
        <v>54.0</v>
      </c>
      <c r="F1274" s="5">
        <v>4.0</v>
      </c>
      <c r="G1274" s="3">
        <v>707.0</v>
      </c>
      <c r="H1274" s="3" t="str">
        <f>VLOOKUP(B1274,'Currency Table'!$M$3:$N$6,2, FALSE)</f>
        <v>EUR</v>
      </c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</row>
    <row r="1275" ht="15.75" hidden="1" customHeight="1">
      <c r="A1275" s="3" t="s">
        <v>334</v>
      </c>
      <c r="B1275" s="3" t="s">
        <v>330</v>
      </c>
      <c r="C1275" s="3" t="s">
        <v>335</v>
      </c>
      <c r="D1275" s="4">
        <v>45677.0</v>
      </c>
      <c r="E1275" s="3">
        <v>19.0</v>
      </c>
      <c r="F1275" s="5">
        <v>3.0</v>
      </c>
      <c r="G1275" s="3">
        <v>323.0</v>
      </c>
      <c r="H1275" s="3" t="str">
        <f>VLOOKUP(B1275,'Currency Table'!$M$3:$N$6,2, FALSE)</f>
        <v>EUR</v>
      </c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</row>
    <row r="1276" ht="15.75" hidden="1" customHeight="1">
      <c r="A1276" s="3" t="s">
        <v>353</v>
      </c>
      <c r="B1276" s="3" t="s">
        <v>330</v>
      </c>
      <c r="C1276" s="3" t="s">
        <v>347</v>
      </c>
      <c r="D1276" s="4">
        <v>45677.0</v>
      </c>
      <c r="E1276" s="3">
        <v>16.0</v>
      </c>
      <c r="F1276" s="5">
        <v>2.0</v>
      </c>
      <c r="G1276" s="3">
        <v>276.0</v>
      </c>
      <c r="H1276" s="3" t="str">
        <f>VLOOKUP(B1276,'Currency Table'!$M$3:$N$6,2, FALSE)</f>
        <v>EUR</v>
      </c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</row>
    <row r="1277" ht="15.75" hidden="1" customHeight="1">
      <c r="A1277" s="3" t="s">
        <v>368</v>
      </c>
      <c r="B1277" s="3" t="s">
        <v>330</v>
      </c>
      <c r="C1277" s="3" t="s">
        <v>352</v>
      </c>
      <c r="D1277" s="4">
        <v>45677.0</v>
      </c>
      <c r="E1277" s="3">
        <v>28.0</v>
      </c>
      <c r="F1277" s="5">
        <v>3.0</v>
      </c>
      <c r="G1277" s="3">
        <v>443.0</v>
      </c>
      <c r="H1277" s="3" t="str">
        <f>VLOOKUP(B1277,'Currency Table'!$M$3:$N$6,2, FALSE)</f>
        <v>EUR</v>
      </c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</row>
    <row r="1278" ht="15.75" hidden="1" customHeight="1">
      <c r="A1278" s="3" t="s">
        <v>339</v>
      </c>
      <c r="B1278" s="3" t="s">
        <v>330</v>
      </c>
      <c r="C1278" s="3" t="s">
        <v>340</v>
      </c>
      <c r="D1278" s="4">
        <v>45677.0</v>
      </c>
      <c r="E1278" s="3">
        <v>58.0</v>
      </c>
      <c r="F1278" s="5">
        <v>2.0</v>
      </c>
      <c r="G1278" s="3">
        <v>842.0</v>
      </c>
      <c r="H1278" s="3" t="str">
        <f>VLOOKUP(B1278,'Currency Table'!$M$3:$N$6,2, FALSE)</f>
        <v>EUR</v>
      </c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</row>
    <row r="1279" ht="15.75" hidden="1" customHeight="1">
      <c r="A1279" s="3" t="s">
        <v>332</v>
      </c>
      <c r="B1279" s="3" t="s">
        <v>330</v>
      </c>
      <c r="C1279" s="3" t="s">
        <v>333</v>
      </c>
      <c r="D1279" s="4">
        <v>45677.0</v>
      </c>
      <c r="E1279" s="3">
        <v>61.0</v>
      </c>
      <c r="F1279" s="5">
        <v>1.0</v>
      </c>
      <c r="G1279" s="3">
        <v>907.0</v>
      </c>
      <c r="H1279" s="3" t="str">
        <f>VLOOKUP(B1279,'Currency Table'!$M$3:$N$6,2, FALSE)</f>
        <v>EUR</v>
      </c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</row>
    <row r="1280" ht="15.75" hidden="1" customHeight="1">
      <c r="A1280" s="3" t="s">
        <v>393</v>
      </c>
      <c r="B1280" s="3" t="s">
        <v>330</v>
      </c>
      <c r="C1280" s="3" t="s">
        <v>352</v>
      </c>
      <c r="D1280" s="4">
        <v>45677.0</v>
      </c>
      <c r="E1280" s="3">
        <v>48.0</v>
      </c>
      <c r="F1280" s="5">
        <v>4.0</v>
      </c>
      <c r="G1280" s="3">
        <v>884.0</v>
      </c>
      <c r="H1280" s="3" t="str">
        <f>VLOOKUP(B1280,'Currency Table'!$M$3:$N$6,2, FALSE)</f>
        <v>EUR</v>
      </c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</row>
    <row r="1281" ht="15.75" hidden="1" customHeight="1">
      <c r="A1281" s="3" t="s">
        <v>394</v>
      </c>
      <c r="B1281" s="3" t="s">
        <v>330</v>
      </c>
      <c r="C1281" s="3" t="s">
        <v>352</v>
      </c>
      <c r="D1281" s="4">
        <v>45677.0</v>
      </c>
      <c r="E1281" s="3">
        <v>60.0</v>
      </c>
      <c r="F1281" s="5">
        <v>2.0</v>
      </c>
      <c r="G1281" s="3">
        <v>745.0</v>
      </c>
      <c r="H1281" s="3" t="str">
        <f>VLOOKUP(B1281,'Currency Table'!$M$3:$N$6,2, FALSE)</f>
        <v>EUR</v>
      </c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</row>
    <row r="1282" ht="15.75" hidden="1" customHeight="1">
      <c r="A1282" s="3" t="s">
        <v>341</v>
      </c>
      <c r="B1282" s="3" t="s">
        <v>330</v>
      </c>
      <c r="C1282" s="3" t="s">
        <v>340</v>
      </c>
      <c r="D1282" s="4">
        <v>45677.0</v>
      </c>
      <c r="E1282" s="3">
        <v>23.0</v>
      </c>
      <c r="F1282" s="5">
        <v>5.0</v>
      </c>
      <c r="G1282" s="3">
        <v>493.0</v>
      </c>
      <c r="H1282" s="3" t="str">
        <f>VLOOKUP(B1282,'Currency Table'!$M$3:$N$6,2, FALSE)</f>
        <v>EUR</v>
      </c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</row>
    <row r="1283" ht="15.75" hidden="1" customHeight="1">
      <c r="A1283" s="3" t="s">
        <v>348</v>
      </c>
      <c r="B1283" s="3" t="s">
        <v>330</v>
      </c>
      <c r="C1283" s="3" t="s">
        <v>333</v>
      </c>
      <c r="D1283" s="4">
        <v>45677.0</v>
      </c>
      <c r="E1283" s="3">
        <v>14.0</v>
      </c>
      <c r="F1283" s="5">
        <v>4.0</v>
      </c>
      <c r="G1283" s="3">
        <v>240.0</v>
      </c>
      <c r="H1283" s="3" t="str">
        <f>VLOOKUP(B1283,'Currency Table'!$M$3:$N$6,2, FALSE)</f>
        <v>EUR</v>
      </c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</row>
    <row r="1284" ht="15.75" hidden="1" customHeight="1">
      <c r="A1284" s="3" t="s">
        <v>355</v>
      </c>
      <c r="B1284" s="3" t="s">
        <v>330</v>
      </c>
      <c r="C1284" s="3" t="s">
        <v>333</v>
      </c>
      <c r="D1284" s="4">
        <v>45677.0</v>
      </c>
      <c r="E1284" s="3">
        <v>31.0</v>
      </c>
      <c r="F1284" s="5">
        <v>0.0</v>
      </c>
      <c r="G1284" s="3">
        <v>568.0</v>
      </c>
      <c r="H1284" s="3" t="str">
        <f>VLOOKUP(B1284,'Currency Table'!$M$3:$N$6,2, FALSE)</f>
        <v>EUR</v>
      </c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</row>
    <row r="1285" ht="15.75" hidden="1" customHeight="1">
      <c r="A1285" s="3" t="s">
        <v>360</v>
      </c>
      <c r="B1285" s="3" t="s">
        <v>330</v>
      </c>
      <c r="C1285" s="3" t="s">
        <v>347</v>
      </c>
      <c r="D1285" s="4">
        <v>45677.0</v>
      </c>
      <c r="E1285" s="3">
        <v>42.0</v>
      </c>
      <c r="F1285" s="5">
        <v>4.0</v>
      </c>
      <c r="G1285" s="3">
        <v>647.0</v>
      </c>
      <c r="H1285" s="3" t="str">
        <f>VLOOKUP(B1285,'Currency Table'!$M$3:$N$6,2, FALSE)</f>
        <v>EUR</v>
      </c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</row>
    <row r="1286" ht="15.75" hidden="1" customHeight="1">
      <c r="A1286" s="3" t="s">
        <v>400</v>
      </c>
      <c r="B1286" s="3" t="s">
        <v>330</v>
      </c>
      <c r="C1286" s="3" t="s">
        <v>352</v>
      </c>
      <c r="D1286" s="4">
        <v>45677.0</v>
      </c>
      <c r="E1286" s="3">
        <v>35.0</v>
      </c>
      <c r="F1286" s="5">
        <v>1.0</v>
      </c>
      <c r="G1286" s="3">
        <v>667.0</v>
      </c>
      <c r="H1286" s="3" t="str">
        <f>VLOOKUP(B1286,'Currency Table'!$M$3:$N$6,2, FALSE)</f>
        <v>EUR</v>
      </c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</row>
    <row r="1287" ht="15.75" hidden="1" customHeight="1">
      <c r="A1287" s="3" t="s">
        <v>350</v>
      </c>
      <c r="B1287" s="3" t="s">
        <v>330</v>
      </c>
      <c r="C1287" s="3" t="s">
        <v>335</v>
      </c>
      <c r="D1287" s="4">
        <v>45677.0</v>
      </c>
      <c r="E1287" s="3">
        <v>53.0</v>
      </c>
      <c r="F1287" s="5">
        <v>1.0</v>
      </c>
      <c r="G1287" s="3">
        <v>780.0</v>
      </c>
      <c r="H1287" s="3" t="str">
        <f>VLOOKUP(B1287,'Currency Table'!$M$3:$N$6,2, FALSE)</f>
        <v>EUR</v>
      </c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</row>
    <row r="1288" ht="15.75" hidden="1" customHeight="1">
      <c r="A1288" s="3" t="s">
        <v>371</v>
      </c>
      <c r="B1288" s="3" t="s">
        <v>330</v>
      </c>
      <c r="C1288" s="3" t="s">
        <v>347</v>
      </c>
      <c r="D1288" s="4">
        <v>45677.0</v>
      </c>
      <c r="E1288" s="3">
        <v>25.0</v>
      </c>
      <c r="F1288" s="5">
        <v>5.0</v>
      </c>
      <c r="G1288" s="3">
        <v>442.0</v>
      </c>
      <c r="H1288" s="3" t="str">
        <f>VLOOKUP(B1288,'Currency Table'!$M$3:$N$6,2, FALSE)</f>
        <v>EUR</v>
      </c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</row>
    <row r="1289" ht="15.75" hidden="1" customHeight="1">
      <c r="A1289" s="3" t="s">
        <v>337</v>
      </c>
      <c r="B1289" s="3" t="s">
        <v>330</v>
      </c>
      <c r="C1289" s="3" t="s">
        <v>338</v>
      </c>
      <c r="D1289" s="4">
        <v>45677.0</v>
      </c>
      <c r="E1289" s="3">
        <v>58.0</v>
      </c>
      <c r="F1289" s="5">
        <v>3.0</v>
      </c>
      <c r="G1289" s="3">
        <v>896.0</v>
      </c>
      <c r="H1289" s="3" t="str">
        <f>VLOOKUP(B1289,'Currency Table'!$M$3:$N$6,2, FALSE)</f>
        <v>EUR</v>
      </c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</row>
    <row r="1290" ht="15.75" hidden="1" customHeight="1">
      <c r="A1290" s="3" t="s">
        <v>404</v>
      </c>
      <c r="B1290" s="3" t="s">
        <v>330</v>
      </c>
      <c r="C1290" s="3" t="s">
        <v>352</v>
      </c>
      <c r="D1290" s="4">
        <v>45677.0</v>
      </c>
      <c r="E1290" s="3">
        <v>28.0</v>
      </c>
      <c r="F1290" s="5">
        <v>4.0</v>
      </c>
      <c r="G1290" s="3">
        <v>317.0</v>
      </c>
      <c r="H1290" s="3" t="str">
        <f>VLOOKUP(B1290,'Currency Table'!$M$3:$N$6,2, FALSE)</f>
        <v>EUR</v>
      </c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</row>
    <row r="1291" ht="15.75" hidden="1" customHeight="1">
      <c r="A1291" s="3" t="s">
        <v>356</v>
      </c>
      <c r="B1291" s="3" t="s">
        <v>330</v>
      </c>
      <c r="C1291" s="3" t="s">
        <v>333</v>
      </c>
      <c r="D1291" s="4">
        <v>45677.0</v>
      </c>
      <c r="E1291" s="3">
        <v>18.0</v>
      </c>
      <c r="F1291" s="5">
        <v>4.0</v>
      </c>
      <c r="G1291" s="3">
        <v>383.0</v>
      </c>
      <c r="H1291" s="3" t="str">
        <f>VLOOKUP(B1291,'Currency Table'!$M$3:$N$6,2, FALSE)</f>
        <v>EUR</v>
      </c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</row>
    <row r="1292" ht="15.75" hidden="1" customHeight="1">
      <c r="A1292" s="3" t="s">
        <v>354</v>
      </c>
      <c r="B1292" s="3" t="s">
        <v>330</v>
      </c>
      <c r="C1292" s="3" t="s">
        <v>335</v>
      </c>
      <c r="D1292" s="4">
        <v>45677.0</v>
      </c>
      <c r="E1292" s="3">
        <v>30.0</v>
      </c>
      <c r="F1292" s="5">
        <v>4.0</v>
      </c>
      <c r="G1292" s="3">
        <v>468.0</v>
      </c>
      <c r="H1292" s="3" t="str">
        <f>VLOOKUP(B1292,'Currency Table'!$M$3:$N$6,2, FALSE)</f>
        <v>EUR</v>
      </c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</row>
    <row r="1293" ht="15.75" hidden="1" customHeight="1">
      <c r="A1293" s="3" t="s">
        <v>344</v>
      </c>
      <c r="B1293" s="3" t="s">
        <v>330</v>
      </c>
      <c r="C1293" s="3" t="s">
        <v>331</v>
      </c>
      <c r="D1293" s="4">
        <v>45677.0</v>
      </c>
      <c r="E1293" s="3">
        <v>27.0</v>
      </c>
      <c r="F1293" s="5">
        <v>2.0</v>
      </c>
      <c r="G1293" s="3">
        <v>353.0</v>
      </c>
      <c r="H1293" s="3" t="str">
        <f>VLOOKUP(B1293,'Currency Table'!$M$3:$N$6,2, FALSE)</f>
        <v>EUR</v>
      </c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</row>
    <row r="1294" ht="15.75" hidden="1" customHeight="1">
      <c r="A1294" s="3" t="s">
        <v>342</v>
      </c>
      <c r="B1294" s="3" t="s">
        <v>330</v>
      </c>
      <c r="C1294" s="3" t="s">
        <v>340</v>
      </c>
      <c r="D1294" s="4">
        <v>45677.0</v>
      </c>
      <c r="E1294" s="3">
        <v>46.0</v>
      </c>
      <c r="F1294" s="5">
        <v>0.0</v>
      </c>
      <c r="G1294" s="3">
        <v>798.0</v>
      </c>
      <c r="H1294" s="3" t="str">
        <f>VLOOKUP(B1294,'Currency Table'!$M$3:$N$6,2, FALSE)</f>
        <v>EUR</v>
      </c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</row>
    <row r="1295" ht="15.75" hidden="1" customHeight="1">
      <c r="A1295" s="3" t="s">
        <v>405</v>
      </c>
      <c r="B1295" s="3" t="s">
        <v>330</v>
      </c>
      <c r="C1295" s="3" t="s">
        <v>352</v>
      </c>
      <c r="D1295" s="4">
        <v>45677.0</v>
      </c>
      <c r="E1295" s="3">
        <v>28.0</v>
      </c>
      <c r="F1295" s="5">
        <v>5.0</v>
      </c>
      <c r="G1295" s="3">
        <v>283.0</v>
      </c>
      <c r="H1295" s="3" t="str">
        <f>VLOOKUP(B1295,'Currency Table'!$M$3:$N$6,2, FALSE)</f>
        <v>EUR</v>
      </c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</row>
    <row r="1296" ht="15.75" hidden="1" customHeight="1">
      <c r="A1296" s="3" t="s">
        <v>363</v>
      </c>
      <c r="B1296" s="3" t="s">
        <v>330</v>
      </c>
      <c r="C1296" s="3" t="s">
        <v>335</v>
      </c>
      <c r="D1296" s="4">
        <v>45677.0</v>
      </c>
      <c r="E1296" s="3">
        <v>67.0</v>
      </c>
      <c r="F1296" s="5">
        <v>4.0</v>
      </c>
      <c r="G1296" s="3">
        <v>996.0</v>
      </c>
      <c r="H1296" s="3" t="str">
        <f>VLOOKUP(B1296,'Currency Table'!$M$3:$N$6,2, FALSE)</f>
        <v>EUR</v>
      </c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</row>
    <row r="1297" ht="15.75" hidden="1" customHeight="1">
      <c r="A1297" s="3" t="s">
        <v>345</v>
      </c>
      <c r="B1297" s="3" t="s">
        <v>330</v>
      </c>
      <c r="C1297" s="3" t="s">
        <v>340</v>
      </c>
      <c r="D1297" s="4">
        <v>45677.0</v>
      </c>
      <c r="E1297" s="3">
        <v>43.0</v>
      </c>
      <c r="F1297" s="5">
        <v>0.0</v>
      </c>
      <c r="G1297" s="3">
        <v>570.0</v>
      </c>
      <c r="H1297" s="3" t="str">
        <f>VLOOKUP(B1297,'Currency Table'!$M$3:$N$6,2, FALSE)</f>
        <v>EUR</v>
      </c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</row>
    <row r="1298" ht="15.75" hidden="1" customHeight="1">
      <c r="A1298" s="3" t="s">
        <v>364</v>
      </c>
      <c r="B1298" s="3" t="s">
        <v>330</v>
      </c>
      <c r="C1298" s="3" t="s">
        <v>338</v>
      </c>
      <c r="D1298" s="4">
        <v>45677.0</v>
      </c>
      <c r="E1298" s="3">
        <v>37.0</v>
      </c>
      <c r="F1298" s="5">
        <v>1.0</v>
      </c>
      <c r="G1298" s="3">
        <v>628.0</v>
      </c>
      <c r="H1298" s="3" t="str">
        <f>VLOOKUP(B1298,'Currency Table'!$M$3:$N$6,2, FALSE)</f>
        <v>EUR</v>
      </c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</row>
    <row r="1299" ht="15.75" hidden="1" customHeight="1">
      <c r="A1299" s="3" t="s">
        <v>366</v>
      </c>
      <c r="B1299" s="3" t="s">
        <v>330</v>
      </c>
      <c r="C1299" s="3" t="s">
        <v>338</v>
      </c>
      <c r="D1299" s="4">
        <v>45677.0</v>
      </c>
      <c r="E1299" s="3">
        <v>63.0</v>
      </c>
      <c r="F1299" s="5">
        <v>2.0</v>
      </c>
      <c r="G1299" s="3">
        <v>952.0</v>
      </c>
      <c r="H1299" s="3" t="str">
        <f>VLOOKUP(B1299,'Currency Table'!$M$3:$N$6,2, FALSE)</f>
        <v>EUR</v>
      </c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</row>
    <row r="1300" ht="15.75" hidden="1" customHeight="1">
      <c r="A1300" s="3" t="s">
        <v>374</v>
      </c>
      <c r="B1300" s="3" t="s">
        <v>330</v>
      </c>
      <c r="C1300" s="3" t="s">
        <v>340</v>
      </c>
      <c r="D1300" s="4">
        <v>45677.0</v>
      </c>
      <c r="E1300" s="3">
        <v>16.0</v>
      </c>
      <c r="F1300" s="5">
        <v>4.0</v>
      </c>
      <c r="G1300" s="3">
        <v>301.0</v>
      </c>
      <c r="H1300" s="3" t="str">
        <f>VLOOKUP(B1300,'Currency Table'!$M$3:$N$6,2, FALSE)</f>
        <v>EUR</v>
      </c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</row>
    <row r="1301" ht="15.75" hidden="1" customHeight="1">
      <c r="A1301" s="3" t="s">
        <v>408</v>
      </c>
      <c r="B1301" s="3" t="s">
        <v>330</v>
      </c>
      <c r="C1301" s="3" t="s">
        <v>352</v>
      </c>
      <c r="D1301" s="4">
        <v>45677.0</v>
      </c>
      <c r="E1301" s="3">
        <v>55.0</v>
      </c>
      <c r="F1301" s="5">
        <v>2.0</v>
      </c>
      <c r="G1301" s="3">
        <v>709.0</v>
      </c>
      <c r="H1301" s="3" t="str">
        <f>VLOOKUP(B1301,'Currency Table'!$M$3:$N$6,2, FALSE)</f>
        <v>EUR</v>
      </c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</row>
    <row r="1302" ht="15.75" hidden="1" customHeight="1">
      <c r="A1302" s="3" t="s">
        <v>370</v>
      </c>
      <c r="B1302" s="3" t="s">
        <v>330</v>
      </c>
      <c r="C1302" s="3" t="s">
        <v>335</v>
      </c>
      <c r="D1302" s="4">
        <v>45677.0</v>
      </c>
      <c r="E1302" s="3">
        <v>43.0</v>
      </c>
      <c r="F1302" s="5">
        <v>5.0</v>
      </c>
      <c r="G1302" s="3">
        <v>594.0</v>
      </c>
      <c r="H1302" s="3" t="str">
        <f>VLOOKUP(B1302,'Currency Table'!$M$3:$N$6,2, FALSE)</f>
        <v>EUR</v>
      </c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</row>
    <row r="1303" ht="15.75" hidden="1" customHeight="1">
      <c r="A1303" s="3" t="s">
        <v>383</v>
      </c>
      <c r="B1303" s="3" t="s">
        <v>330</v>
      </c>
      <c r="C1303" s="3" t="s">
        <v>338</v>
      </c>
      <c r="D1303" s="4">
        <v>45677.0</v>
      </c>
      <c r="E1303" s="3">
        <v>39.0</v>
      </c>
      <c r="F1303" s="5">
        <v>1.0</v>
      </c>
      <c r="G1303" s="3">
        <v>652.0</v>
      </c>
      <c r="H1303" s="3" t="str">
        <f>VLOOKUP(B1303,'Currency Table'!$M$3:$N$6,2, FALSE)</f>
        <v>EUR</v>
      </c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</row>
    <row r="1304" ht="15.75" hidden="1" customHeight="1">
      <c r="A1304" s="3" t="s">
        <v>434</v>
      </c>
      <c r="B1304" s="3" t="s">
        <v>330</v>
      </c>
      <c r="C1304" s="3" t="s">
        <v>352</v>
      </c>
      <c r="D1304" s="4">
        <v>45677.0</v>
      </c>
      <c r="E1304" s="3">
        <v>61.0</v>
      </c>
      <c r="F1304" s="5">
        <v>3.0</v>
      </c>
      <c r="G1304" s="3">
        <v>915.0</v>
      </c>
      <c r="H1304" s="3" t="str">
        <f>VLOOKUP(B1304,'Currency Table'!$M$3:$N$6,2, FALSE)</f>
        <v>EUR</v>
      </c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</row>
    <row r="1305" ht="15.75" hidden="1" customHeight="1">
      <c r="A1305" s="3" t="s">
        <v>435</v>
      </c>
      <c r="B1305" s="3" t="s">
        <v>330</v>
      </c>
      <c r="C1305" s="3" t="s">
        <v>352</v>
      </c>
      <c r="D1305" s="4">
        <v>45677.0</v>
      </c>
      <c r="E1305" s="3">
        <v>32.0</v>
      </c>
      <c r="F1305" s="5">
        <v>5.0</v>
      </c>
      <c r="G1305" s="3">
        <v>697.0</v>
      </c>
      <c r="H1305" s="3" t="str">
        <f>VLOOKUP(B1305,'Currency Table'!$M$3:$N$6,2, FALSE)</f>
        <v>EUR</v>
      </c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</row>
    <row r="1306" ht="15.75" hidden="1" customHeight="1">
      <c r="A1306" s="3" t="s">
        <v>386</v>
      </c>
      <c r="B1306" s="3" t="s">
        <v>330</v>
      </c>
      <c r="C1306" s="3" t="s">
        <v>335</v>
      </c>
      <c r="D1306" s="4">
        <v>45677.0</v>
      </c>
      <c r="E1306" s="3">
        <v>20.0</v>
      </c>
      <c r="F1306" s="5">
        <v>5.0</v>
      </c>
      <c r="G1306" s="3">
        <v>309.0</v>
      </c>
      <c r="H1306" s="3" t="str">
        <f>VLOOKUP(B1306,'Currency Table'!$M$3:$N$6,2, FALSE)</f>
        <v>EUR</v>
      </c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</row>
    <row r="1307" ht="15.75" hidden="1" customHeight="1">
      <c r="A1307" s="3" t="s">
        <v>359</v>
      </c>
      <c r="B1307" s="3" t="s">
        <v>330</v>
      </c>
      <c r="C1307" s="3" t="s">
        <v>333</v>
      </c>
      <c r="D1307" s="4">
        <v>45677.0</v>
      </c>
      <c r="E1307" s="3">
        <v>59.0</v>
      </c>
      <c r="F1307" s="5">
        <v>1.0</v>
      </c>
      <c r="G1307" s="3">
        <v>816.0</v>
      </c>
      <c r="H1307" s="3" t="str">
        <f>VLOOKUP(B1307,'Currency Table'!$M$3:$N$6,2, FALSE)</f>
        <v>EUR</v>
      </c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</row>
    <row r="1308" ht="15.75" hidden="1" customHeight="1">
      <c r="A1308" s="3" t="s">
        <v>389</v>
      </c>
      <c r="B1308" s="3" t="s">
        <v>330</v>
      </c>
      <c r="C1308" s="3" t="s">
        <v>340</v>
      </c>
      <c r="D1308" s="4">
        <v>45677.0</v>
      </c>
      <c r="E1308" s="3">
        <v>30.0</v>
      </c>
      <c r="F1308" s="5">
        <v>0.0</v>
      </c>
      <c r="G1308" s="3">
        <v>492.0</v>
      </c>
      <c r="H1308" s="3" t="str">
        <f>VLOOKUP(B1308,'Currency Table'!$M$3:$N$6,2, FALSE)</f>
        <v>EUR</v>
      </c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</row>
    <row r="1309" ht="15.75" hidden="1" customHeight="1">
      <c r="A1309" s="3" t="s">
        <v>391</v>
      </c>
      <c r="B1309" s="3" t="s">
        <v>330</v>
      </c>
      <c r="C1309" s="3" t="s">
        <v>335</v>
      </c>
      <c r="D1309" s="4">
        <v>45677.0</v>
      </c>
      <c r="E1309" s="3">
        <v>52.0</v>
      </c>
      <c r="F1309" s="5">
        <v>0.0</v>
      </c>
      <c r="G1309" s="3">
        <v>736.0</v>
      </c>
      <c r="H1309" s="3" t="str">
        <f>VLOOKUP(B1309,'Currency Table'!$M$3:$N$6,2, FALSE)</f>
        <v>EUR</v>
      </c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</row>
    <row r="1310" ht="15.75" hidden="1" customHeight="1">
      <c r="A1310" s="3" t="s">
        <v>362</v>
      </c>
      <c r="B1310" s="3" t="s">
        <v>330</v>
      </c>
      <c r="C1310" s="3" t="s">
        <v>333</v>
      </c>
      <c r="D1310" s="4">
        <v>45677.0</v>
      </c>
      <c r="E1310" s="3">
        <v>36.0</v>
      </c>
      <c r="F1310" s="5">
        <v>3.0</v>
      </c>
      <c r="G1310" s="3">
        <v>566.0</v>
      </c>
      <c r="H1310" s="3" t="str">
        <f>VLOOKUP(B1310,'Currency Table'!$M$3:$N$6,2, FALSE)</f>
        <v>EUR</v>
      </c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</row>
    <row r="1311" ht="15.75" hidden="1" customHeight="1">
      <c r="A1311" s="3" t="s">
        <v>369</v>
      </c>
      <c r="B1311" s="3" t="s">
        <v>330</v>
      </c>
      <c r="C1311" s="3" t="s">
        <v>333</v>
      </c>
      <c r="D1311" s="4">
        <v>45677.0</v>
      </c>
      <c r="E1311" s="3">
        <v>48.0</v>
      </c>
      <c r="F1311" s="5">
        <v>0.0</v>
      </c>
      <c r="G1311" s="3">
        <v>750.0</v>
      </c>
      <c r="H1311" s="3" t="str">
        <f>VLOOKUP(B1311,'Currency Table'!$M$3:$N$6,2, FALSE)</f>
        <v>EUR</v>
      </c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</row>
    <row r="1312" ht="15.75" hidden="1" customHeight="1">
      <c r="A1312" s="3" t="s">
        <v>376</v>
      </c>
      <c r="B1312" s="3" t="s">
        <v>330</v>
      </c>
      <c r="C1312" s="3" t="s">
        <v>333</v>
      </c>
      <c r="D1312" s="4">
        <v>45677.0</v>
      </c>
      <c r="E1312" s="3">
        <v>64.0</v>
      </c>
      <c r="F1312" s="5">
        <v>7.0</v>
      </c>
      <c r="G1312" s="3">
        <v>952.0</v>
      </c>
      <c r="H1312" s="3" t="str">
        <f>VLOOKUP(B1312,'Currency Table'!$M$3:$N$6,2, FALSE)</f>
        <v>EUR</v>
      </c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</row>
    <row r="1313" ht="15.75" hidden="1" customHeight="1">
      <c r="A1313" s="3" t="s">
        <v>388</v>
      </c>
      <c r="B1313" s="3" t="s">
        <v>330</v>
      </c>
      <c r="C1313" s="3" t="s">
        <v>338</v>
      </c>
      <c r="D1313" s="4">
        <v>45677.0</v>
      </c>
      <c r="E1313" s="3">
        <v>38.0</v>
      </c>
      <c r="F1313" s="5">
        <v>2.0</v>
      </c>
      <c r="G1313" s="3">
        <v>533.0</v>
      </c>
      <c r="H1313" s="3" t="str">
        <f>VLOOKUP(B1313,'Currency Table'!$M$3:$N$6,2, FALSE)</f>
        <v>EUR</v>
      </c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</row>
    <row r="1314" ht="15.75" hidden="1" customHeight="1">
      <c r="A1314" s="3" t="s">
        <v>384</v>
      </c>
      <c r="B1314" s="3" t="s">
        <v>330</v>
      </c>
      <c r="C1314" s="3" t="s">
        <v>347</v>
      </c>
      <c r="D1314" s="4">
        <v>45677.0</v>
      </c>
      <c r="E1314" s="3">
        <v>42.0</v>
      </c>
      <c r="F1314" s="5">
        <v>5.0</v>
      </c>
      <c r="G1314" s="3">
        <v>565.0</v>
      </c>
      <c r="H1314" s="3" t="str">
        <f>VLOOKUP(B1314,'Currency Table'!$M$3:$N$6,2, FALSE)</f>
        <v>EUR</v>
      </c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</row>
    <row r="1315" ht="15.75" hidden="1" customHeight="1">
      <c r="A1315" s="3" t="s">
        <v>397</v>
      </c>
      <c r="B1315" s="3" t="s">
        <v>330</v>
      </c>
      <c r="C1315" s="3" t="s">
        <v>335</v>
      </c>
      <c r="D1315" s="4">
        <v>45677.0</v>
      </c>
      <c r="E1315" s="3">
        <v>70.0</v>
      </c>
      <c r="F1315" s="5">
        <v>5.0</v>
      </c>
      <c r="G1315" s="3">
        <v>931.0</v>
      </c>
      <c r="H1315" s="3" t="str">
        <f>VLOOKUP(B1315,'Currency Table'!$M$3:$N$6,2, FALSE)</f>
        <v>EUR</v>
      </c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</row>
    <row r="1316" ht="15.75" hidden="1" customHeight="1">
      <c r="A1316" s="3" t="s">
        <v>392</v>
      </c>
      <c r="B1316" s="3" t="s">
        <v>330</v>
      </c>
      <c r="C1316" s="3" t="s">
        <v>347</v>
      </c>
      <c r="D1316" s="4">
        <v>45677.0</v>
      </c>
      <c r="E1316" s="3">
        <v>40.0</v>
      </c>
      <c r="F1316" s="5">
        <v>0.0</v>
      </c>
      <c r="G1316" s="3">
        <v>527.0</v>
      </c>
      <c r="H1316" s="3" t="str">
        <f>VLOOKUP(B1316,'Currency Table'!$M$3:$N$6,2, FALSE)</f>
        <v>EUR</v>
      </c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</row>
    <row r="1317" ht="15.75" hidden="1" customHeight="1">
      <c r="A1317" s="3" t="s">
        <v>440</v>
      </c>
      <c r="B1317" s="3" t="s">
        <v>330</v>
      </c>
      <c r="C1317" s="3" t="s">
        <v>352</v>
      </c>
      <c r="D1317" s="4">
        <v>45677.0</v>
      </c>
      <c r="E1317" s="3">
        <v>52.0</v>
      </c>
      <c r="F1317" s="5">
        <v>2.0</v>
      </c>
      <c r="G1317" s="3">
        <v>841.0</v>
      </c>
      <c r="H1317" s="3" t="str">
        <f>VLOOKUP(B1317,'Currency Table'!$M$3:$N$6,2, FALSE)</f>
        <v>EUR</v>
      </c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</row>
    <row r="1318" ht="15.75" hidden="1" customHeight="1">
      <c r="A1318" s="3" t="s">
        <v>410</v>
      </c>
      <c r="B1318" s="3" t="s">
        <v>330</v>
      </c>
      <c r="C1318" s="3" t="s">
        <v>340</v>
      </c>
      <c r="D1318" s="4">
        <v>45677.0</v>
      </c>
      <c r="E1318" s="3">
        <v>34.0</v>
      </c>
      <c r="F1318" s="5">
        <v>4.0</v>
      </c>
      <c r="G1318" s="3">
        <v>699.0</v>
      </c>
      <c r="H1318" s="3" t="str">
        <f>VLOOKUP(B1318,'Currency Table'!$M$3:$N$6,2, FALSE)</f>
        <v>EUR</v>
      </c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</row>
    <row r="1319" ht="15.75" hidden="1" customHeight="1">
      <c r="A1319" s="3" t="s">
        <v>378</v>
      </c>
      <c r="B1319" s="3" t="s">
        <v>330</v>
      </c>
      <c r="C1319" s="3" t="s">
        <v>333</v>
      </c>
      <c r="D1319" s="4">
        <v>45677.0</v>
      </c>
      <c r="E1319" s="3">
        <v>63.0</v>
      </c>
      <c r="F1319" s="5">
        <v>2.0</v>
      </c>
      <c r="G1319" s="3">
        <v>948.0</v>
      </c>
      <c r="H1319" s="3" t="str">
        <f>VLOOKUP(B1319,'Currency Table'!$M$3:$N$6,2, FALSE)</f>
        <v>EUR</v>
      </c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</row>
    <row r="1320" ht="15.75" hidden="1" customHeight="1">
      <c r="A1320" s="3" t="s">
        <v>379</v>
      </c>
      <c r="B1320" s="3" t="s">
        <v>330</v>
      </c>
      <c r="C1320" s="3" t="s">
        <v>333</v>
      </c>
      <c r="D1320" s="4">
        <v>45677.0</v>
      </c>
      <c r="E1320" s="3">
        <v>58.0</v>
      </c>
      <c r="F1320" s="5">
        <v>5.0</v>
      </c>
      <c r="G1320" s="3">
        <v>721.0</v>
      </c>
      <c r="H1320" s="3" t="str">
        <f>VLOOKUP(B1320,'Currency Table'!$M$3:$N$6,2, FALSE)</f>
        <v>EUR</v>
      </c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</row>
    <row r="1321" ht="15.75" hidden="1" customHeight="1">
      <c r="A1321" s="3" t="s">
        <v>398</v>
      </c>
      <c r="B1321" s="3" t="s">
        <v>330</v>
      </c>
      <c r="C1321" s="3" t="s">
        <v>347</v>
      </c>
      <c r="D1321" s="4">
        <v>45677.0</v>
      </c>
      <c r="E1321" s="3">
        <v>10.0</v>
      </c>
      <c r="F1321" s="5">
        <v>1.0</v>
      </c>
      <c r="G1321" s="3">
        <v>158.0</v>
      </c>
      <c r="H1321" s="3" t="str">
        <f>VLOOKUP(B1321,'Currency Table'!$M$3:$N$6,2, FALSE)</f>
        <v>EUR</v>
      </c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</row>
    <row r="1322" ht="15.75" hidden="1" customHeight="1">
      <c r="A1322" s="3" t="s">
        <v>441</v>
      </c>
      <c r="B1322" s="3" t="s">
        <v>330</v>
      </c>
      <c r="C1322" s="3" t="s">
        <v>352</v>
      </c>
      <c r="D1322" s="4">
        <v>45677.0</v>
      </c>
      <c r="E1322" s="3">
        <v>29.0</v>
      </c>
      <c r="F1322" s="5">
        <v>2.0</v>
      </c>
      <c r="G1322" s="3">
        <v>308.0</v>
      </c>
      <c r="H1322" s="3" t="str">
        <f>VLOOKUP(B1322,'Currency Table'!$M$3:$N$6,2, FALSE)</f>
        <v>EUR</v>
      </c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</row>
    <row r="1323" ht="15.75" hidden="1" customHeight="1">
      <c r="A1323" s="3" t="s">
        <v>401</v>
      </c>
      <c r="B1323" s="3" t="s">
        <v>330</v>
      </c>
      <c r="C1323" s="3" t="s">
        <v>335</v>
      </c>
      <c r="D1323" s="4">
        <v>45677.0</v>
      </c>
      <c r="E1323" s="3">
        <v>52.0</v>
      </c>
      <c r="F1323" s="5">
        <v>0.0</v>
      </c>
      <c r="G1323" s="3">
        <v>797.0</v>
      </c>
      <c r="H1323" s="3" t="str">
        <f>VLOOKUP(B1323,'Currency Table'!$M$3:$N$6,2, FALSE)</f>
        <v>EUR</v>
      </c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</row>
    <row r="1324" ht="15.75" hidden="1" customHeight="1">
      <c r="A1324" s="3" t="s">
        <v>399</v>
      </c>
      <c r="B1324" s="3" t="s">
        <v>330</v>
      </c>
      <c r="C1324" s="3" t="s">
        <v>347</v>
      </c>
      <c r="D1324" s="4">
        <v>45677.0</v>
      </c>
      <c r="E1324" s="3">
        <v>40.0</v>
      </c>
      <c r="F1324" s="5">
        <v>1.0</v>
      </c>
      <c r="G1324" s="3">
        <v>647.0</v>
      </c>
      <c r="H1324" s="3" t="str">
        <f>VLOOKUP(B1324,'Currency Table'!$M$3:$N$6,2, FALSE)</f>
        <v>EUR</v>
      </c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</row>
    <row r="1325" ht="15.75" hidden="1" customHeight="1">
      <c r="A1325" s="3" t="s">
        <v>411</v>
      </c>
      <c r="B1325" s="3" t="s">
        <v>330</v>
      </c>
      <c r="C1325" s="3" t="s">
        <v>338</v>
      </c>
      <c r="D1325" s="4">
        <v>45677.0</v>
      </c>
      <c r="E1325" s="3">
        <v>52.0</v>
      </c>
      <c r="F1325" s="5">
        <v>4.0</v>
      </c>
      <c r="G1325" s="3">
        <v>727.0</v>
      </c>
      <c r="H1325" s="3" t="str">
        <f>VLOOKUP(B1325,'Currency Table'!$M$3:$N$6,2, FALSE)</f>
        <v>EUR</v>
      </c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</row>
    <row r="1326" ht="15.75" hidden="1" customHeight="1">
      <c r="A1326" s="3" t="s">
        <v>381</v>
      </c>
      <c r="B1326" s="3" t="s">
        <v>330</v>
      </c>
      <c r="C1326" s="3" t="s">
        <v>333</v>
      </c>
      <c r="D1326" s="4">
        <v>45677.0</v>
      </c>
      <c r="E1326" s="3">
        <v>63.0</v>
      </c>
      <c r="F1326" s="5">
        <v>3.0</v>
      </c>
      <c r="G1326" s="3">
        <v>955.0</v>
      </c>
      <c r="H1326" s="3" t="str">
        <f>VLOOKUP(B1326,'Currency Table'!$M$3:$N$6,2, FALSE)</f>
        <v>EUR</v>
      </c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</row>
    <row r="1327" ht="15.75" hidden="1" customHeight="1">
      <c r="A1327" s="3" t="s">
        <v>403</v>
      </c>
      <c r="B1327" s="3" t="s">
        <v>330</v>
      </c>
      <c r="C1327" s="3" t="s">
        <v>347</v>
      </c>
      <c r="D1327" s="4">
        <v>45677.0</v>
      </c>
      <c r="E1327" s="3">
        <v>21.0</v>
      </c>
      <c r="F1327" s="5">
        <v>3.0</v>
      </c>
      <c r="G1327" s="3">
        <v>441.0</v>
      </c>
      <c r="H1327" s="3" t="str">
        <f>VLOOKUP(B1327,'Currency Table'!$M$3:$N$6,2, FALSE)</f>
        <v>EUR</v>
      </c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</row>
    <row r="1328" ht="15.75" hidden="1" customHeight="1">
      <c r="A1328" s="3" t="s">
        <v>420</v>
      </c>
      <c r="B1328" s="3" t="s">
        <v>330</v>
      </c>
      <c r="C1328" s="3" t="s">
        <v>347</v>
      </c>
      <c r="D1328" s="4">
        <v>45677.0</v>
      </c>
      <c r="E1328" s="3">
        <v>55.0</v>
      </c>
      <c r="F1328" s="5">
        <v>3.0</v>
      </c>
      <c r="G1328" s="3">
        <v>872.0</v>
      </c>
      <c r="H1328" s="3" t="str">
        <f>VLOOKUP(B1328,'Currency Table'!$M$3:$N$6,2, FALSE)</f>
        <v>EUR</v>
      </c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</row>
    <row r="1329" ht="15.75" hidden="1" customHeight="1">
      <c r="A1329" s="3" t="s">
        <v>421</v>
      </c>
      <c r="B1329" s="3" t="s">
        <v>330</v>
      </c>
      <c r="C1329" s="3" t="s">
        <v>347</v>
      </c>
      <c r="D1329" s="4">
        <v>45677.0</v>
      </c>
      <c r="E1329" s="3">
        <v>26.0</v>
      </c>
      <c r="F1329" s="5">
        <v>0.0</v>
      </c>
      <c r="G1329" s="3">
        <v>289.0</v>
      </c>
      <c r="H1329" s="3" t="str">
        <f>VLOOKUP(B1329,'Currency Table'!$M$3:$N$6,2, FALSE)</f>
        <v>EUR</v>
      </c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</row>
    <row r="1330" ht="15.75" hidden="1" customHeight="1">
      <c r="A1330" s="3" t="s">
        <v>430</v>
      </c>
      <c r="B1330" s="3" t="s">
        <v>330</v>
      </c>
      <c r="C1330" s="3" t="s">
        <v>347</v>
      </c>
      <c r="D1330" s="4">
        <v>45677.0</v>
      </c>
      <c r="E1330" s="3">
        <v>65.0</v>
      </c>
      <c r="F1330" s="5">
        <v>3.0</v>
      </c>
      <c r="G1330" s="3">
        <v>964.0</v>
      </c>
      <c r="H1330" s="3" t="str">
        <f>VLOOKUP(B1330,'Currency Table'!$M$3:$N$6,2, FALSE)</f>
        <v>EUR</v>
      </c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</row>
    <row r="1331" ht="15.75" hidden="1" customHeight="1">
      <c r="A1331" s="3" t="s">
        <v>361</v>
      </c>
      <c r="B1331" s="3" t="s">
        <v>330</v>
      </c>
      <c r="C1331" s="3" t="s">
        <v>331</v>
      </c>
      <c r="D1331" s="4">
        <v>45677.0</v>
      </c>
      <c r="E1331" s="3">
        <v>38.0</v>
      </c>
      <c r="F1331" s="5">
        <v>0.0</v>
      </c>
      <c r="G1331" s="3">
        <v>600.0</v>
      </c>
      <c r="H1331" s="3" t="str">
        <f>VLOOKUP(B1331,'Currency Table'!$M$3:$N$6,2, FALSE)</f>
        <v>EUR</v>
      </c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</row>
    <row r="1332" ht="15.75" hidden="1" customHeight="1">
      <c r="A1332" s="3" t="s">
        <v>423</v>
      </c>
      <c r="B1332" s="3" t="s">
        <v>330</v>
      </c>
      <c r="C1332" s="3" t="s">
        <v>338</v>
      </c>
      <c r="D1332" s="4">
        <v>45677.0</v>
      </c>
      <c r="E1332" s="3">
        <v>40.0</v>
      </c>
      <c r="F1332" s="5">
        <v>1.0</v>
      </c>
      <c r="G1332" s="3">
        <v>541.0</v>
      </c>
      <c r="H1332" s="3" t="str">
        <f>VLOOKUP(B1332,'Currency Table'!$M$3:$N$6,2, FALSE)</f>
        <v>EUR</v>
      </c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</row>
    <row r="1333" ht="15.75" hidden="1" customHeight="1">
      <c r="A1333" s="3" t="s">
        <v>412</v>
      </c>
      <c r="B1333" s="3" t="s">
        <v>330</v>
      </c>
      <c r="C1333" s="3" t="s">
        <v>340</v>
      </c>
      <c r="D1333" s="4">
        <v>45677.0</v>
      </c>
      <c r="E1333" s="3">
        <v>21.0</v>
      </c>
      <c r="F1333" s="5">
        <v>2.0</v>
      </c>
      <c r="G1333" s="3">
        <v>415.0</v>
      </c>
      <c r="H1333" s="3" t="str">
        <f>VLOOKUP(B1333,'Currency Table'!$M$3:$N$6,2, FALSE)</f>
        <v>EUR</v>
      </c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</row>
    <row r="1334" ht="15.75" hidden="1" customHeight="1">
      <c r="A1334" s="3" t="s">
        <v>395</v>
      </c>
      <c r="B1334" s="3" t="s">
        <v>330</v>
      </c>
      <c r="C1334" s="3" t="s">
        <v>333</v>
      </c>
      <c r="D1334" s="4">
        <v>45677.0</v>
      </c>
      <c r="E1334" s="3">
        <v>37.0</v>
      </c>
      <c r="F1334" s="5">
        <v>4.0</v>
      </c>
      <c r="G1334" s="3">
        <v>645.0</v>
      </c>
      <c r="H1334" s="3" t="str">
        <f>VLOOKUP(B1334,'Currency Table'!$M$3:$N$6,2, FALSE)</f>
        <v>EUR</v>
      </c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</row>
    <row r="1335" ht="15.75" hidden="1" customHeight="1">
      <c r="A1335" s="3" t="s">
        <v>407</v>
      </c>
      <c r="B1335" s="3" t="s">
        <v>330</v>
      </c>
      <c r="C1335" s="3" t="s">
        <v>335</v>
      </c>
      <c r="D1335" s="4">
        <v>45677.0</v>
      </c>
      <c r="E1335" s="3">
        <v>44.0</v>
      </c>
      <c r="F1335" s="5">
        <v>4.0</v>
      </c>
      <c r="G1335" s="3">
        <v>561.0</v>
      </c>
      <c r="H1335" s="3" t="str">
        <f>VLOOKUP(B1335,'Currency Table'!$M$3:$N$6,2, FALSE)</f>
        <v>EUR</v>
      </c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</row>
    <row r="1336" ht="15.75" hidden="1" customHeight="1">
      <c r="A1336" s="3" t="s">
        <v>413</v>
      </c>
      <c r="B1336" s="3" t="s">
        <v>330</v>
      </c>
      <c r="C1336" s="3" t="s">
        <v>340</v>
      </c>
      <c r="D1336" s="4">
        <v>45677.0</v>
      </c>
      <c r="E1336" s="3">
        <v>19.0</v>
      </c>
      <c r="F1336" s="5">
        <v>3.0</v>
      </c>
      <c r="G1336" s="3">
        <v>461.0</v>
      </c>
      <c r="H1336" s="3" t="str">
        <f>VLOOKUP(B1336,'Currency Table'!$M$3:$N$6,2, FALSE)</f>
        <v>EUR</v>
      </c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</row>
    <row r="1337" ht="15.75" hidden="1" customHeight="1">
      <c r="A1337" s="3" t="s">
        <v>402</v>
      </c>
      <c r="B1337" s="3" t="s">
        <v>330</v>
      </c>
      <c r="C1337" s="3" t="s">
        <v>333</v>
      </c>
      <c r="D1337" s="4">
        <v>45677.0</v>
      </c>
      <c r="E1337" s="3">
        <v>39.0</v>
      </c>
      <c r="F1337" s="5">
        <v>5.0</v>
      </c>
      <c r="G1337" s="3">
        <v>533.0</v>
      </c>
      <c r="H1337" s="3" t="str">
        <f>VLOOKUP(B1337,'Currency Table'!$M$3:$N$6,2, FALSE)</f>
        <v>EUR</v>
      </c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</row>
    <row r="1338" ht="15.75" hidden="1" customHeight="1">
      <c r="A1338" s="3" t="s">
        <v>417</v>
      </c>
      <c r="B1338" s="3" t="s">
        <v>330</v>
      </c>
      <c r="C1338" s="3" t="s">
        <v>333</v>
      </c>
      <c r="D1338" s="4">
        <v>45677.0</v>
      </c>
      <c r="E1338" s="3">
        <v>48.0</v>
      </c>
      <c r="F1338" s="5">
        <v>0.0</v>
      </c>
      <c r="G1338" s="3">
        <v>760.0</v>
      </c>
      <c r="H1338" s="3" t="str">
        <f>VLOOKUP(B1338,'Currency Table'!$M$3:$N$6,2, FALSE)</f>
        <v>EUR</v>
      </c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</row>
    <row r="1339" ht="15.75" hidden="1" customHeight="1">
      <c r="A1339" s="3" t="s">
        <v>442</v>
      </c>
      <c r="B1339" s="3" t="s">
        <v>330</v>
      </c>
      <c r="C1339" s="3" t="s">
        <v>333</v>
      </c>
      <c r="D1339" s="4">
        <v>45677.0</v>
      </c>
      <c r="E1339" s="3">
        <v>34.0</v>
      </c>
      <c r="F1339" s="5">
        <v>2.0</v>
      </c>
      <c r="G1339" s="3">
        <v>612.0</v>
      </c>
      <c r="H1339" s="3" t="str">
        <f>VLOOKUP(B1339,'Currency Table'!$M$3:$N$6,2, FALSE)</f>
        <v>EUR</v>
      </c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</row>
    <row r="1340" ht="15.75" hidden="1" customHeight="1">
      <c r="A1340" s="3" t="s">
        <v>422</v>
      </c>
      <c r="B1340" s="3" t="s">
        <v>330</v>
      </c>
      <c r="C1340" s="3" t="s">
        <v>335</v>
      </c>
      <c r="D1340" s="4">
        <v>45677.0</v>
      </c>
      <c r="E1340" s="3">
        <v>55.0</v>
      </c>
      <c r="F1340" s="5">
        <v>3.0</v>
      </c>
      <c r="G1340" s="3">
        <v>723.0</v>
      </c>
      <c r="H1340" s="3" t="str">
        <f>VLOOKUP(B1340,'Currency Table'!$M$3:$N$6,2, FALSE)</f>
        <v>EUR</v>
      </c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</row>
    <row r="1341" ht="15.75" hidden="1" customHeight="1">
      <c r="A1341" s="3" t="s">
        <v>414</v>
      </c>
      <c r="B1341" s="3" t="s">
        <v>330</v>
      </c>
      <c r="C1341" s="3" t="s">
        <v>340</v>
      </c>
      <c r="D1341" s="4">
        <v>45677.0</v>
      </c>
      <c r="E1341" s="3">
        <v>18.0</v>
      </c>
      <c r="F1341" s="5">
        <v>3.0</v>
      </c>
      <c r="G1341" s="3">
        <v>368.0</v>
      </c>
      <c r="H1341" s="3" t="str">
        <f>VLOOKUP(B1341,'Currency Table'!$M$3:$N$6,2, FALSE)</f>
        <v>EUR</v>
      </c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</row>
    <row r="1342" ht="15.75" hidden="1" customHeight="1">
      <c r="A1342" s="3" t="s">
        <v>429</v>
      </c>
      <c r="B1342" s="3" t="s">
        <v>330</v>
      </c>
      <c r="C1342" s="3" t="s">
        <v>335</v>
      </c>
      <c r="D1342" s="4">
        <v>45677.0</v>
      </c>
      <c r="E1342" s="3">
        <v>35.0</v>
      </c>
      <c r="F1342" s="5">
        <v>4.0</v>
      </c>
      <c r="G1342" s="3">
        <v>608.0</v>
      </c>
      <c r="H1342" s="3" t="str">
        <f>VLOOKUP(B1342,'Currency Table'!$M$3:$N$6,2, FALSE)</f>
        <v>EUR</v>
      </c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</row>
    <row r="1343" ht="15.75" hidden="1" customHeight="1">
      <c r="A1343" s="3" t="s">
        <v>443</v>
      </c>
      <c r="B1343" s="3" t="s">
        <v>330</v>
      </c>
      <c r="C1343" s="3" t="s">
        <v>335</v>
      </c>
      <c r="D1343" s="4">
        <v>45677.0</v>
      </c>
      <c r="E1343" s="3">
        <v>32.0</v>
      </c>
      <c r="F1343" s="5">
        <v>4.0</v>
      </c>
      <c r="G1343" s="3">
        <v>652.0</v>
      </c>
      <c r="H1343" s="3" t="str">
        <f>VLOOKUP(B1343,'Currency Table'!$M$3:$N$6,2, FALSE)</f>
        <v>EUR</v>
      </c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</row>
    <row r="1344" ht="15.75" hidden="1" customHeight="1">
      <c r="A1344" s="3" t="s">
        <v>437</v>
      </c>
      <c r="B1344" s="3" t="s">
        <v>330</v>
      </c>
      <c r="C1344" s="3" t="s">
        <v>333</v>
      </c>
      <c r="D1344" s="4">
        <v>45677.0</v>
      </c>
      <c r="E1344" s="3">
        <v>15.0</v>
      </c>
      <c r="F1344" s="5">
        <v>1.0</v>
      </c>
      <c r="G1344" s="3">
        <v>154.0</v>
      </c>
      <c r="H1344" s="3" t="str">
        <f>VLOOKUP(B1344,'Currency Table'!$M$3:$N$6,2, FALSE)</f>
        <v>EUR</v>
      </c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</row>
    <row r="1345" ht="15.75" hidden="1" customHeight="1">
      <c r="A1345" s="3" t="s">
        <v>380</v>
      </c>
      <c r="B1345" s="3" t="s">
        <v>330</v>
      </c>
      <c r="C1345" s="3" t="s">
        <v>331</v>
      </c>
      <c r="D1345" s="4">
        <v>45677.0</v>
      </c>
      <c r="E1345" s="3">
        <v>23.0</v>
      </c>
      <c r="F1345" s="5">
        <v>3.0</v>
      </c>
      <c r="G1345" s="3">
        <v>299.0</v>
      </c>
      <c r="H1345" s="3" t="str">
        <f>VLOOKUP(B1345,'Currency Table'!$M$3:$N$6,2, FALSE)</f>
        <v>EUR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</row>
    <row r="1346" ht="15.75" hidden="1" customHeight="1">
      <c r="A1346" s="3" t="s">
        <v>436</v>
      </c>
      <c r="B1346" s="3" t="s">
        <v>330</v>
      </c>
      <c r="C1346" s="3" t="s">
        <v>335</v>
      </c>
      <c r="D1346" s="4">
        <v>45677.0</v>
      </c>
      <c r="E1346" s="3">
        <v>64.0</v>
      </c>
      <c r="F1346" s="5">
        <v>3.0</v>
      </c>
      <c r="G1346" s="3">
        <v>1041.0</v>
      </c>
      <c r="H1346" s="3" t="str">
        <f>VLOOKUP(B1346,'Currency Table'!$M$3:$N$6,2, FALSE)</f>
        <v>EUR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</row>
    <row r="1347" ht="15.75" hidden="1" customHeight="1">
      <c r="A1347" s="3" t="s">
        <v>415</v>
      </c>
      <c r="B1347" s="3" t="s">
        <v>330</v>
      </c>
      <c r="C1347" s="3" t="s">
        <v>340</v>
      </c>
      <c r="D1347" s="4">
        <v>45677.0</v>
      </c>
      <c r="E1347" s="3">
        <v>25.0</v>
      </c>
      <c r="F1347" s="5">
        <v>4.0</v>
      </c>
      <c r="G1347" s="3">
        <v>370.0</v>
      </c>
      <c r="H1347" s="3" t="str">
        <f>VLOOKUP(B1347,'Currency Table'!$M$3:$N$6,2, FALSE)</f>
        <v>EUR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</row>
    <row r="1348" ht="15.75" hidden="1" customHeight="1">
      <c r="A1348" s="3" t="s">
        <v>426</v>
      </c>
      <c r="B1348" s="3" t="s">
        <v>330</v>
      </c>
      <c r="C1348" s="3" t="s">
        <v>338</v>
      </c>
      <c r="D1348" s="4">
        <v>45677.0</v>
      </c>
      <c r="E1348" s="3">
        <v>25.0</v>
      </c>
      <c r="F1348" s="5">
        <v>4.0</v>
      </c>
      <c r="G1348" s="3">
        <v>364.0</v>
      </c>
      <c r="H1348" s="3" t="str">
        <f>VLOOKUP(B1348,'Currency Table'!$M$3:$N$6,2, FALSE)</f>
        <v>EUR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</row>
    <row r="1349" ht="15.75" hidden="1" customHeight="1">
      <c r="A1349" s="3" t="s">
        <v>438</v>
      </c>
      <c r="B1349" s="3" t="s">
        <v>330</v>
      </c>
      <c r="C1349" s="3" t="s">
        <v>333</v>
      </c>
      <c r="D1349" s="4">
        <v>45677.0</v>
      </c>
      <c r="E1349" s="3">
        <v>25.0</v>
      </c>
      <c r="F1349" s="5">
        <v>2.0</v>
      </c>
      <c r="G1349" s="3">
        <v>359.0</v>
      </c>
      <c r="H1349" s="3" t="str">
        <f>VLOOKUP(B1349,'Currency Table'!$M$3:$N$6,2, FALSE)</f>
        <v>EUR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</row>
    <row r="1350" ht="15.75" hidden="1" customHeight="1">
      <c r="A1350" s="3" t="s">
        <v>427</v>
      </c>
      <c r="B1350" s="3" t="s">
        <v>330</v>
      </c>
      <c r="C1350" s="3" t="s">
        <v>338</v>
      </c>
      <c r="D1350" s="4">
        <v>45677.0</v>
      </c>
      <c r="E1350" s="3">
        <v>66.0</v>
      </c>
      <c r="F1350" s="5">
        <v>3.0</v>
      </c>
      <c r="G1350" s="3">
        <v>910.0</v>
      </c>
      <c r="H1350" s="3" t="str">
        <f>VLOOKUP(B1350,'Currency Table'!$M$3:$N$6,2, FALSE)</f>
        <v>EUR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</row>
    <row r="1351" ht="15.75" hidden="1" customHeight="1">
      <c r="A1351" s="3" t="s">
        <v>418</v>
      </c>
      <c r="B1351" s="3" t="s">
        <v>330</v>
      </c>
      <c r="C1351" s="3" t="s">
        <v>340</v>
      </c>
      <c r="D1351" s="4">
        <v>45677.0</v>
      </c>
      <c r="E1351" s="3">
        <v>51.0</v>
      </c>
      <c r="F1351" s="5">
        <v>2.0</v>
      </c>
      <c r="G1351" s="3">
        <v>737.0</v>
      </c>
      <c r="H1351" s="3" t="str">
        <f>VLOOKUP(B1351,'Currency Table'!$M$3:$N$6,2, FALSE)</f>
        <v>EUR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</row>
    <row r="1352" ht="15.75" hidden="1" customHeight="1">
      <c r="A1352" s="3" t="s">
        <v>348</v>
      </c>
      <c r="B1352" s="3" t="s">
        <v>330</v>
      </c>
      <c r="C1352" s="3" t="s">
        <v>333</v>
      </c>
      <c r="D1352" s="4">
        <v>45684.0</v>
      </c>
      <c r="E1352" s="3">
        <v>58.0</v>
      </c>
      <c r="F1352" s="5">
        <v>0.0</v>
      </c>
      <c r="G1352" s="3">
        <v>746.0</v>
      </c>
      <c r="H1352" s="3" t="str">
        <f>VLOOKUP(B1352,'Currency Table'!$M$3:$N$6,2, FALSE)</f>
        <v>EUR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</row>
    <row r="1353" ht="15.75" hidden="1" customHeight="1">
      <c r="A1353" s="3" t="s">
        <v>355</v>
      </c>
      <c r="B1353" s="3" t="s">
        <v>330</v>
      </c>
      <c r="C1353" s="3" t="s">
        <v>333</v>
      </c>
      <c r="D1353" s="4">
        <v>45684.0</v>
      </c>
      <c r="E1353" s="3">
        <v>16.0</v>
      </c>
      <c r="F1353" s="5">
        <v>5.0</v>
      </c>
      <c r="G1353" s="3">
        <v>380.0</v>
      </c>
      <c r="H1353" s="3" t="str">
        <f>VLOOKUP(B1353,'Currency Table'!$M$3:$N$6,2, FALSE)</f>
        <v>EUR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</row>
    <row r="1354" ht="15.75" hidden="1" customHeight="1">
      <c r="A1354" s="3" t="s">
        <v>356</v>
      </c>
      <c r="B1354" s="3" t="s">
        <v>330</v>
      </c>
      <c r="C1354" s="3" t="s">
        <v>333</v>
      </c>
      <c r="D1354" s="4">
        <v>45684.0</v>
      </c>
      <c r="E1354" s="3">
        <v>24.0</v>
      </c>
      <c r="F1354" s="5">
        <v>3.0</v>
      </c>
      <c r="G1354" s="3">
        <v>422.0</v>
      </c>
      <c r="H1354" s="3" t="str">
        <f>VLOOKUP(B1354,'Currency Table'!$M$3:$N$6,2, FALSE)</f>
        <v>EUR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</row>
    <row r="1355" ht="15.75" hidden="1" customHeight="1">
      <c r="A1355" s="3" t="s">
        <v>346</v>
      </c>
      <c r="B1355" s="3" t="s">
        <v>330</v>
      </c>
      <c r="C1355" s="3" t="s">
        <v>347</v>
      </c>
      <c r="D1355" s="4">
        <v>45684.0</v>
      </c>
      <c r="E1355" s="3">
        <v>41.0</v>
      </c>
      <c r="F1355" s="5">
        <v>8.0</v>
      </c>
      <c r="G1355" s="3">
        <v>672.0</v>
      </c>
      <c r="H1355" s="3" t="str">
        <f>VLOOKUP(B1355,'Currency Table'!$M$3:$N$6,2, FALSE)</f>
        <v>EUR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</row>
    <row r="1356" ht="15.75" hidden="1" customHeight="1">
      <c r="A1356" s="3" t="s">
        <v>361</v>
      </c>
      <c r="B1356" s="3" t="s">
        <v>330</v>
      </c>
      <c r="C1356" s="3" t="s">
        <v>331</v>
      </c>
      <c r="D1356" s="4">
        <v>45684.0</v>
      </c>
      <c r="E1356" s="3">
        <v>36.0</v>
      </c>
      <c r="F1356" s="5">
        <v>4.0</v>
      </c>
      <c r="G1356" s="3">
        <v>500.0</v>
      </c>
      <c r="H1356" s="3" t="str">
        <f>VLOOKUP(B1356,'Currency Table'!$M$3:$N$6,2, FALSE)</f>
        <v>EUR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</row>
    <row r="1357" ht="15.75" hidden="1" customHeight="1">
      <c r="A1357" s="3" t="s">
        <v>351</v>
      </c>
      <c r="B1357" s="3" t="s">
        <v>330</v>
      </c>
      <c r="C1357" s="3" t="s">
        <v>352</v>
      </c>
      <c r="D1357" s="4">
        <v>45684.0</v>
      </c>
      <c r="E1357" s="3">
        <v>53.0</v>
      </c>
      <c r="F1357" s="5">
        <v>1.0</v>
      </c>
      <c r="G1357" s="3">
        <v>802.0</v>
      </c>
      <c r="H1357" s="3" t="str">
        <f>VLOOKUP(B1357,'Currency Table'!$M$3:$N$6,2, FALSE)</f>
        <v>EUR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</row>
    <row r="1358" ht="15.75" hidden="1" customHeight="1">
      <c r="A1358" s="3" t="s">
        <v>359</v>
      </c>
      <c r="B1358" s="3" t="s">
        <v>330</v>
      </c>
      <c r="C1358" s="3" t="s">
        <v>333</v>
      </c>
      <c r="D1358" s="4">
        <v>45684.0</v>
      </c>
      <c r="E1358" s="3">
        <v>14.0</v>
      </c>
      <c r="F1358" s="5">
        <v>1.0</v>
      </c>
      <c r="G1358" s="3">
        <v>182.0</v>
      </c>
      <c r="H1358" s="3" t="str">
        <f>VLOOKUP(B1358,'Currency Table'!$M$3:$N$6,2, FALSE)</f>
        <v>EUR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</row>
    <row r="1359" ht="15.75" hidden="1" customHeight="1">
      <c r="A1359" s="3" t="s">
        <v>425</v>
      </c>
      <c r="B1359" s="3" t="s">
        <v>330</v>
      </c>
      <c r="C1359" s="3" t="s">
        <v>340</v>
      </c>
      <c r="D1359" s="4">
        <v>45684.0</v>
      </c>
      <c r="E1359" s="3">
        <v>43.0</v>
      </c>
      <c r="F1359" s="5">
        <v>0.0</v>
      </c>
      <c r="G1359" s="3">
        <v>584.0</v>
      </c>
      <c r="H1359" s="3" t="str">
        <f>VLOOKUP(B1359,'Currency Table'!$M$3:$N$6,2, FALSE)</f>
        <v>EUR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</row>
    <row r="1360" ht="15.75" hidden="1" customHeight="1">
      <c r="A1360" s="3" t="s">
        <v>349</v>
      </c>
      <c r="B1360" s="3" t="s">
        <v>330</v>
      </c>
      <c r="C1360" s="3" t="s">
        <v>347</v>
      </c>
      <c r="D1360" s="4">
        <v>45684.0</v>
      </c>
      <c r="E1360" s="3">
        <v>27.0</v>
      </c>
      <c r="F1360" s="5">
        <v>0.0</v>
      </c>
      <c r="G1360" s="3">
        <v>301.0</v>
      </c>
      <c r="H1360" s="3" t="str">
        <f>VLOOKUP(B1360,'Currency Table'!$M$3:$N$6,2, FALSE)</f>
        <v>EUR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</row>
    <row r="1361" ht="15.75" hidden="1" customHeight="1">
      <c r="A1361" s="3" t="s">
        <v>368</v>
      </c>
      <c r="B1361" s="3" t="s">
        <v>330</v>
      </c>
      <c r="C1361" s="3" t="s">
        <v>352</v>
      </c>
      <c r="D1361" s="4">
        <v>45684.0</v>
      </c>
      <c r="E1361" s="3">
        <v>11.0</v>
      </c>
      <c r="F1361" s="5">
        <v>1.0</v>
      </c>
      <c r="G1361" s="3">
        <v>202.0</v>
      </c>
      <c r="H1361" s="3" t="str">
        <f>VLOOKUP(B1361,'Currency Table'!$M$3:$N$6,2, FALSE)</f>
        <v>EUR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</row>
    <row r="1362" ht="15.75" hidden="1" customHeight="1">
      <c r="A1362" s="3" t="s">
        <v>362</v>
      </c>
      <c r="B1362" s="3" t="s">
        <v>330</v>
      </c>
      <c r="C1362" s="3" t="s">
        <v>333</v>
      </c>
      <c r="D1362" s="4">
        <v>45684.0</v>
      </c>
      <c r="E1362" s="3">
        <v>69.0</v>
      </c>
      <c r="F1362" s="5">
        <v>5.0</v>
      </c>
      <c r="G1362" s="3">
        <v>1000.0</v>
      </c>
      <c r="H1362" s="3" t="str">
        <f>VLOOKUP(B1362,'Currency Table'!$M$3:$N$6,2, FALSE)</f>
        <v>EUR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</row>
    <row r="1363" ht="15.75" hidden="1" customHeight="1">
      <c r="A1363" s="3" t="s">
        <v>419</v>
      </c>
      <c r="B1363" s="3" t="s">
        <v>330</v>
      </c>
      <c r="C1363" s="3" t="s">
        <v>331</v>
      </c>
      <c r="D1363" s="4">
        <v>45684.0</v>
      </c>
      <c r="E1363" s="3">
        <v>12.0</v>
      </c>
      <c r="F1363" s="5">
        <v>4.0</v>
      </c>
      <c r="G1363" s="3">
        <v>183.0</v>
      </c>
      <c r="H1363" s="3" t="str">
        <f>VLOOKUP(B1363,'Currency Table'!$M$3:$N$6,2, FALSE)</f>
        <v>EUR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</row>
    <row r="1364" ht="15.75" hidden="1" customHeight="1">
      <c r="A1364" s="3" t="s">
        <v>353</v>
      </c>
      <c r="B1364" s="3" t="s">
        <v>330</v>
      </c>
      <c r="C1364" s="3" t="s">
        <v>347</v>
      </c>
      <c r="D1364" s="4">
        <v>45684.0</v>
      </c>
      <c r="E1364" s="3">
        <v>20.0</v>
      </c>
      <c r="F1364" s="5">
        <v>4.0</v>
      </c>
      <c r="G1364" s="3">
        <v>330.0</v>
      </c>
      <c r="H1364" s="3" t="str">
        <f>VLOOKUP(B1364,'Currency Table'!$M$3:$N$6,2, FALSE)</f>
        <v>EUR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</row>
    <row r="1365" ht="15.75" hidden="1" customHeight="1">
      <c r="A1365" s="3" t="s">
        <v>329</v>
      </c>
      <c r="B1365" s="3" t="s">
        <v>330</v>
      </c>
      <c r="C1365" s="3" t="s">
        <v>331</v>
      </c>
      <c r="D1365" s="4">
        <v>45684.0</v>
      </c>
      <c r="E1365" s="3">
        <v>32.0</v>
      </c>
      <c r="F1365" s="5">
        <v>0.0</v>
      </c>
      <c r="G1365" s="3">
        <v>592.0</v>
      </c>
      <c r="H1365" s="3" t="str">
        <f>VLOOKUP(B1365,'Currency Table'!$M$3:$N$6,2, FALSE)</f>
        <v>EUR</v>
      </c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</row>
    <row r="1366" ht="15.75" hidden="1" customHeight="1">
      <c r="A1366" s="3" t="s">
        <v>334</v>
      </c>
      <c r="B1366" s="3" t="s">
        <v>330</v>
      </c>
      <c r="C1366" s="3" t="s">
        <v>335</v>
      </c>
      <c r="D1366" s="4">
        <v>45684.0</v>
      </c>
      <c r="E1366" s="3">
        <v>43.0</v>
      </c>
      <c r="F1366" s="5">
        <v>0.0</v>
      </c>
      <c r="G1366" s="3">
        <v>675.0</v>
      </c>
      <c r="H1366" s="3" t="str">
        <f>VLOOKUP(B1366,'Currency Table'!$M$3:$N$6,2, FALSE)</f>
        <v>EUR</v>
      </c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</row>
    <row r="1367" ht="15.75" hidden="1" customHeight="1">
      <c r="A1367" s="3" t="s">
        <v>339</v>
      </c>
      <c r="B1367" s="3" t="s">
        <v>330</v>
      </c>
      <c r="C1367" s="3" t="s">
        <v>340</v>
      </c>
      <c r="D1367" s="4">
        <v>45684.0</v>
      </c>
      <c r="E1367" s="3">
        <v>70.0</v>
      </c>
      <c r="F1367" s="5">
        <v>1.0</v>
      </c>
      <c r="G1367" s="3">
        <v>1024.0</v>
      </c>
      <c r="H1367" s="3" t="str">
        <f>VLOOKUP(B1367,'Currency Table'!$M$3:$N$6,2, FALSE)</f>
        <v>EUR</v>
      </c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</row>
    <row r="1368" ht="15.75" hidden="1" customHeight="1">
      <c r="A1368" s="3" t="s">
        <v>350</v>
      </c>
      <c r="B1368" s="3" t="s">
        <v>330</v>
      </c>
      <c r="C1368" s="3" t="s">
        <v>335</v>
      </c>
      <c r="D1368" s="4">
        <v>45684.0</v>
      </c>
      <c r="E1368" s="3">
        <v>46.0</v>
      </c>
      <c r="F1368" s="5">
        <v>1.0</v>
      </c>
      <c r="G1368" s="3">
        <v>861.0</v>
      </c>
      <c r="H1368" s="3" t="str">
        <f>VLOOKUP(B1368,'Currency Table'!$M$3:$N$6,2, FALSE)</f>
        <v>EUR</v>
      </c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</row>
    <row r="1369" ht="15.75" hidden="1" customHeight="1">
      <c r="A1369" s="3" t="s">
        <v>376</v>
      </c>
      <c r="B1369" s="3" t="s">
        <v>330</v>
      </c>
      <c r="C1369" s="3" t="s">
        <v>333</v>
      </c>
      <c r="D1369" s="4">
        <v>45684.0</v>
      </c>
      <c r="E1369" s="3">
        <v>18.0</v>
      </c>
      <c r="F1369" s="5">
        <v>1.0</v>
      </c>
      <c r="G1369" s="3">
        <v>438.0</v>
      </c>
      <c r="H1369" s="3" t="str">
        <f>VLOOKUP(B1369,'Currency Table'!$M$3:$N$6,2, FALSE)</f>
        <v>EUR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</row>
    <row r="1370" ht="15.75" hidden="1" customHeight="1">
      <c r="A1370" s="3" t="s">
        <v>354</v>
      </c>
      <c r="B1370" s="3" t="s">
        <v>330</v>
      </c>
      <c r="C1370" s="3" t="s">
        <v>335</v>
      </c>
      <c r="D1370" s="4">
        <v>45684.0</v>
      </c>
      <c r="E1370" s="3">
        <v>13.0</v>
      </c>
      <c r="F1370" s="5">
        <v>3.0</v>
      </c>
      <c r="G1370" s="3">
        <v>202.0</v>
      </c>
      <c r="H1370" s="3" t="str">
        <f>VLOOKUP(B1370,'Currency Table'!$M$3:$N$6,2, FALSE)</f>
        <v>EUR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</row>
    <row r="1371" ht="15.75" hidden="1" customHeight="1">
      <c r="A1371" s="3" t="s">
        <v>363</v>
      </c>
      <c r="B1371" s="3" t="s">
        <v>330</v>
      </c>
      <c r="C1371" s="3" t="s">
        <v>335</v>
      </c>
      <c r="D1371" s="4">
        <v>45684.0</v>
      </c>
      <c r="E1371" s="3">
        <v>11.0</v>
      </c>
      <c r="F1371" s="5">
        <v>5.0</v>
      </c>
      <c r="G1371" s="3">
        <v>196.0</v>
      </c>
      <c r="H1371" s="3" t="str">
        <f>VLOOKUP(B1371,'Currency Table'!$M$3:$N$6,2, FALSE)</f>
        <v>EUR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</row>
    <row r="1372" ht="15.75" hidden="1" customHeight="1">
      <c r="A1372" s="3" t="s">
        <v>370</v>
      </c>
      <c r="B1372" s="3" t="s">
        <v>330</v>
      </c>
      <c r="C1372" s="3" t="s">
        <v>335</v>
      </c>
      <c r="D1372" s="4">
        <v>45684.0</v>
      </c>
      <c r="E1372" s="3">
        <v>13.0</v>
      </c>
      <c r="F1372" s="5">
        <v>3.0</v>
      </c>
      <c r="G1372" s="3">
        <v>157.0</v>
      </c>
      <c r="H1372" s="3" t="str">
        <f>VLOOKUP(B1372,'Currency Table'!$M$3:$N$6,2, FALSE)</f>
        <v>EUR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</row>
    <row r="1373" ht="15.75" hidden="1" customHeight="1">
      <c r="A1373" s="3" t="s">
        <v>357</v>
      </c>
      <c r="B1373" s="3" t="s">
        <v>330</v>
      </c>
      <c r="C1373" s="3" t="s">
        <v>347</v>
      </c>
      <c r="D1373" s="4">
        <v>45684.0</v>
      </c>
      <c r="E1373" s="3">
        <v>32.0</v>
      </c>
      <c r="F1373" s="5">
        <v>5.0</v>
      </c>
      <c r="G1373" s="3">
        <v>688.0</v>
      </c>
      <c r="H1373" s="3" t="str">
        <f>VLOOKUP(B1373,'Currency Table'!$M$3:$N$6,2, FALSE)</f>
        <v>EUR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</row>
    <row r="1374" ht="15.75" hidden="1" customHeight="1">
      <c r="A1374" s="3" t="s">
        <v>379</v>
      </c>
      <c r="B1374" s="3" t="s">
        <v>330</v>
      </c>
      <c r="C1374" s="3" t="s">
        <v>333</v>
      </c>
      <c r="D1374" s="4">
        <v>45684.0</v>
      </c>
      <c r="E1374" s="3">
        <v>54.0</v>
      </c>
      <c r="F1374" s="5">
        <v>0.0</v>
      </c>
      <c r="G1374" s="3">
        <v>771.0</v>
      </c>
      <c r="H1374" s="3" t="str">
        <f>VLOOKUP(B1374,'Currency Table'!$M$3:$N$6,2, FALSE)</f>
        <v>EUR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</row>
    <row r="1375" ht="15.75" hidden="1" customHeight="1">
      <c r="A1375" s="3" t="s">
        <v>337</v>
      </c>
      <c r="B1375" s="3" t="s">
        <v>330</v>
      </c>
      <c r="C1375" s="3" t="s">
        <v>338</v>
      </c>
      <c r="D1375" s="4">
        <v>45684.0</v>
      </c>
      <c r="E1375" s="3">
        <v>13.0</v>
      </c>
      <c r="F1375" s="5">
        <v>5.0</v>
      </c>
      <c r="G1375" s="3">
        <v>243.0</v>
      </c>
      <c r="H1375" s="3" t="str">
        <f>VLOOKUP(B1375,'Currency Table'!$M$3:$N$6,2, FALSE)</f>
        <v>EUR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</row>
    <row r="1376" ht="15.75" hidden="1" customHeight="1">
      <c r="A1376" s="3" t="s">
        <v>336</v>
      </c>
      <c r="B1376" s="3" t="s">
        <v>330</v>
      </c>
      <c r="C1376" s="3" t="s">
        <v>331</v>
      </c>
      <c r="D1376" s="4">
        <v>45684.0</v>
      </c>
      <c r="E1376" s="3">
        <v>40.0</v>
      </c>
      <c r="F1376" s="5">
        <v>3.0</v>
      </c>
      <c r="G1376" s="3">
        <v>583.0</v>
      </c>
      <c r="H1376" s="3" t="str">
        <f>VLOOKUP(B1376,'Currency Table'!$M$3:$N$6,2, FALSE)</f>
        <v>EUR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</row>
    <row r="1377" ht="15.75" hidden="1" customHeight="1">
      <c r="A1377" s="3" t="s">
        <v>393</v>
      </c>
      <c r="B1377" s="3" t="s">
        <v>330</v>
      </c>
      <c r="C1377" s="3" t="s">
        <v>352</v>
      </c>
      <c r="D1377" s="4">
        <v>45684.0</v>
      </c>
      <c r="E1377" s="3">
        <v>33.0</v>
      </c>
      <c r="F1377" s="5">
        <v>3.0</v>
      </c>
      <c r="G1377" s="3">
        <v>576.0</v>
      </c>
      <c r="H1377" s="3" t="str">
        <f>VLOOKUP(B1377,'Currency Table'!$M$3:$N$6,2, FALSE)</f>
        <v>EUR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</row>
    <row r="1378" ht="15.75" hidden="1" customHeight="1">
      <c r="A1378" s="3" t="s">
        <v>360</v>
      </c>
      <c r="B1378" s="3" t="s">
        <v>330</v>
      </c>
      <c r="C1378" s="3" t="s">
        <v>347</v>
      </c>
      <c r="D1378" s="4">
        <v>45684.0</v>
      </c>
      <c r="E1378" s="3">
        <v>15.0</v>
      </c>
      <c r="F1378" s="5">
        <v>3.0</v>
      </c>
      <c r="G1378" s="3">
        <v>173.0</v>
      </c>
      <c r="H1378" s="3" t="str">
        <f>VLOOKUP(B1378,'Currency Table'!$M$3:$N$6,2, FALSE)</f>
        <v>EUR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</row>
    <row r="1379" ht="15.75" hidden="1" customHeight="1">
      <c r="A1379" s="3" t="s">
        <v>386</v>
      </c>
      <c r="B1379" s="3" t="s">
        <v>330</v>
      </c>
      <c r="C1379" s="3" t="s">
        <v>335</v>
      </c>
      <c r="D1379" s="4">
        <v>45684.0</v>
      </c>
      <c r="E1379" s="3">
        <v>42.0</v>
      </c>
      <c r="F1379" s="5">
        <v>4.0</v>
      </c>
      <c r="G1379" s="3">
        <v>604.0</v>
      </c>
      <c r="H1379" s="3" t="str">
        <f>VLOOKUP(B1379,'Currency Table'!$M$3:$N$6,2, FALSE)</f>
        <v>EUR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</row>
    <row r="1380" ht="15.75" hidden="1" customHeight="1">
      <c r="A1380" s="3" t="s">
        <v>394</v>
      </c>
      <c r="B1380" s="3" t="s">
        <v>330</v>
      </c>
      <c r="C1380" s="3" t="s">
        <v>352</v>
      </c>
      <c r="D1380" s="4">
        <v>45684.0</v>
      </c>
      <c r="E1380" s="3">
        <v>15.0</v>
      </c>
      <c r="F1380" s="5">
        <v>1.0</v>
      </c>
      <c r="G1380" s="3">
        <v>233.0</v>
      </c>
      <c r="H1380" s="3" t="str">
        <f>VLOOKUP(B1380,'Currency Table'!$M$3:$N$6,2, FALSE)</f>
        <v>EUR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</row>
    <row r="1381" ht="15.75" hidden="1" customHeight="1">
      <c r="A1381" s="3" t="s">
        <v>344</v>
      </c>
      <c r="B1381" s="3" t="s">
        <v>330</v>
      </c>
      <c r="C1381" s="3" t="s">
        <v>331</v>
      </c>
      <c r="D1381" s="4">
        <v>45684.0</v>
      </c>
      <c r="E1381" s="3">
        <v>16.0</v>
      </c>
      <c r="F1381" s="5">
        <v>5.0</v>
      </c>
      <c r="G1381" s="3">
        <v>455.0</v>
      </c>
      <c r="H1381" s="3" t="str">
        <f>VLOOKUP(B1381,'Currency Table'!$M$3:$N$6,2, FALSE)</f>
        <v>EUR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</row>
    <row r="1382" ht="15.75" hidden="1" customHeight="1">
      <c r="A1382" s="3" t="s">
        <v>343</v>
      </c>
      <c r="B1382" s="3" t="s">
        <v>330</v>
      </c>
      <c r="C1382" s="3" t="s">
        <v>338</v>
      </c>
      <c r="D1382" s="4">
        <v>45684.0</v>
      </c>
      <c r="E1382" s="3">
        <v>38.0</v>
      </c>
      <c r="F1382" s="5">
        <v>0.0</v>
      </c>
      <c r="G1382" s="3">
        <v>659.0</v>
      </c>
      <c r="H1382" s="3" t="str">
        <f>VLOOKUP(B1382,'Currency Table'!$M$3:$N$6,2, FALSE)</f>
        <v>EUR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</row>
    <row r="1383" ht="15.75" hidden="1" customHeight="1">
      <c r="A1383" s="3" t="s">
        <v>391</v>
      </c>
      <c r="B1383" s="3" t="s">
        <v>330</v>
      </c>
      <c r="C1383" s="3" t="s">
        <v>335</v>
      </c>
      <c r="D1383" s="4">
        <v>45684.0</v>
      </c>
      <c r="E1383" s="3">
        <v>18.0</v>
      </c>
      <c r="F1383" s="5">
        <v>0.0</v>
      </c>
      <c r="G1383" s="3">
        <v>460.0</v>
      </c>
      <c r="H1383" s="3" t="str">
        <f>VLOOKUP(B1383,'Currency Table'!$M$3:$N$6,2, FALSE)</f>
        <v>EUR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</row>
    <row r="1384" ht="15.75" hidden="1" customHeight="1">
      <c r="A1384" s="3" t="s">
        <v>400</v>
      </c>
      <c r="B1384" s="3" t="s">
        <v>330</v>
      </c>
      <c r="C1384" s="3" t="s">
        <v>352</v>
      </c>
      <c r="D1384" s="4">
        <v>45684.0</v>
      </c>
      <c r="E1384" s="3">
        <v>44.0</v>
      </c>
      <c r="F1384" s="5">
        <v>0.0</v>
      </c>
      <c r="G1384" s="3">
        <v>593.0</v>
      </c>
      <c r="H1384" s="3" t="str">
        <f>VLOOKUP(B1384,'Currency Table'!$M$3:$N$6,2, FALSE)</f>
        <v>EUR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</row>
    <row r="1385" ht="15.75" hidden="1" customHeight="1">
      <c r="A1385" s="3" t="s">
        <v>397</v>
      </c>
      <c r="B1385" s="3" t="s">
        <v>330</v>
      </c>
      <c r="C1385" s="3" t="s">
        <v>335</v>
      </c>
      <c r="D1385" s="4">
        <v>45684.0</v>
      </c>
      <c r="E1385" s="3">
        <v>19.0</v>
      </c>
      <c r="F1385" s="5">
        <v>3.0</v>
      </c>
      <c r="G1385" s="3">
        <v>289.0</v>
      </c>
      <c r="H1385" s="3" t="str">
        <f>VLOOKUP(B1385,'Currency Table'!$M$3:$N$6,2, FALSE)</f>
        <v>EUR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</row>
    <row r="1386" ht="15.75" hidden="1" customHeight="1">
      <c r="A1386" s="3" t="s">
        <v>404</v>
      </c>
      <c r="B1386" s="3" t="s">
        <v>330</v>
      </c>
      <c r="C1386" s="3" t="s">
        <v>352</v>
      </c>
      <c r="D1386" s="4">
        <v>45684.0</v>
      </c>
      <c r="E1386" s="3">
        <v>16.0</v>
      </c>
      <c r="F1386" s="5">
        <v>1.0</v>
      </c>
      <c r="G1386" s="3">
        <v>266.0</v>
      </c>
      <c r="H1386" s="3" t="str">
        <f>VLOOKUP(B1386,'Currency Table'!$M$3:$N$6,2, FALSE)</f>
        <v>EUR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</row>
    <row r="1387" ht="15.75" hidden="1" customHeight="1">
      <c r="A1387" s="3" t="s">
        <v>366</v>
      </c>
      <c r="B1387" s="3" t="s">
        <v>330</v>
      </c>
      <c r="C1387" s="3" t="s">
        <v>338</v>
      </c>
      <c r="D1387" s="4">
        <v>45684.0</v>
      </c>
      <c r="E1387" s="3">
        <v>19.0</v>
      </c>
      <c r="F1387" s="5">
        <v>0.0</v>
      </c>
      <c r="G1387" s="3">
        <v>389.0</v>
      </c>
      <c r="H1387" s="3" t="str">
        <f>VLOOKUP(B1387,'Currency Table'!$M$3:$N$6,2, FALSE)</f>
        <v>EUR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</row>
    <row r="1388" ht="15.75" hidden="1" customHeight="1">
      <c r="A1388" s="3" t="s">
        <v>405</v>
      </c>
      <c r="B1388" s="3" t="s">
        <v>330</v>
      </c>
      <c r="C1388" s="3" t="s">
        <v>352</v>
      </c>
      <c r="D1388" s="4">
        <v>45684.0</v>
      </c>
      <c r="E1388" s="3">
        <v>19.0</v>
      </c>
      <c r="F1388" s="5">
        <v>1.0</v>
      </c>
      <c r="G1388" s="3">
        <v>316.0</v>
      </c>
      <c r="H1388" s="3" t="str">
        <f>VLOOKUP(B1388,'Currency Table'!$M$3:$N$6,2, FALSE)</f>
        <v>EUR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</row>
    <row r="1389" ht="15.75" hidden="1" customHeight="1">
      <c r="A1389" s="3" t="s">
        <v>383</v>
      </c>
      <c r="B1389" s="3" t="s">
        <v>330</v>
      </c>
      <c r="C1389" s="3" t="s">
        <v>338</v>
      </c>
      <c r="D1389" s="4">
        <v>45684.0</v>
      </c>
      <c r="E1389" s="3">
        <v>11.0</v>
      </c>
      <c r="F1389" s="5">
        <v>2.0</v>
      </c>
      <c r="G1389" s="3">
        <v>215.0</v>
      </c>
      <c r="H1389" s="3" t="str">
        <f>VLOOKUP(B1389,'Currency Table'!$M$3:$N$6,2, FALSE)</f>
        <v>EUR</v>
      </c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</row>
    <row r="1390" ht="15.75" hidden="1" customHeight="1">
      <c r="A1390" s="3" t="s">
        <v>342</v>
      </c>
      <c r="B1390" s="3" t="s">
        <v>330</v>
      </c>
      <c r="C1390" s="3" t="s">
        <v>340</v>
      </c>
      <c r="D1390" s="4">
        <v>45684.0</v>
      </c>
      <c r="E1390" s="3">
        <v>28.0</v>
      </c>
      <c r="F1390" s="5">
        <v>3.0</v>
      </c>
      <c r="G1390" s="3">
        <v>286.0</v>
      </c>
      <c r="H1390" s="3" t="str">
        <f>VLOOKUP(B1390,'Currency Table'!$M$3:$N$6,2, FALSE)</f>
        <v>EUR</v>
      </c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</row>
    <row r="1391" ht="15.75" hidden="1" customHeight="1">
      <c r="A1391" s="3" t="s">
        <v>345</v>
      </c>
      <c r="B1391" s="3" t="s">
        <v>330</v>
      </c>
      <c r="C1391" s="3" t="s">
        <v>340</v>
      </c>
      <c r="D1391" s="4">
        <v>45684.0</v>
      </c>
      <c r="E1391" s="3">
        <v>69.0</v>
      </c>
      <c r="F1391" s="5">
        <v>4.0</v>
      </c>
      <c r="G1391" s="3">
        <v>921.0</v>
      </c>
      <c r="H1391" s="3" t="str">
        <f>VLOOKUP(B1391,'Currency Table'!$M$3:$N$6,2, FALSE)</f>
        <v>EUR</v>
      </c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</row>
    <row r="1392" ht="15.75" hidden="1" customHeight="1">
      <c r="A1392" s="3" t="s">
        <v>408</v>
      </c>
      <c r="B1392" s="3" t="s">
        <v>330</v>
      </c>
      <c r="C1392" s="3" t="s">
        <v>352</v>
      </c>
      <c r="D1392" s="4">
        <v>45684.0</v>
      </c>
      <c r="E1392" s="3">
        <v>33.0</v>
      </c>
      <c r="F1392" s="5">
        <v>3.0</v>
      </c>
      <c r="G1392" s="3">
        <v>679.0</v>
      </c>
      <c r="H1392" s="3" t="str">
        <f>VLOOKUP(B1392,'Currency Table'!$M$3:$N$6,2, FALSE)</f>
        <v>EUR</v>
      </c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</row>
    <row r="1393" ht="15.75" hidden="1" customHeight="1">
      <c r="A1393" s="3" t="s">
        <v>371</v>
      </c>
      <c r="B1393" s="3" t="s">
        <v>330</v>
      </c>
      <c r="C1393" s="3" t="s">
        <v>347</v>
      </c>
      <c r="D1393" s="4">
        <v>45684.0</v>
      </c>
      <c r="E1393" s="3">
        <v>69.0</v>
      </c>
      <c r="F1393" s="5">
        <v>4.0</v>
      </c>
      <c r="G1393" s="3">
        <v>949.0</v>
      </c>
      <c r="H1393" s="3" t="str">
        <f>VLOOKUP(B1393,'Currency Table'!$M$3:$N$6,2, FALSE)</f>
        <v>EUR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</row>
    <row r="1394" ht="15.75" hidden="1" customHeight="1">
      <c r="A1394" s="3" t="s">
        <v>384</v>
      </c>
      <c r="B1394" s="3" t="s">
        <v>330</v>
      </c>
      <c r="C1394" s="3" t="s">
        <v>347</v>
      </c>
      <c r="D1394" s="4">
        <v>45684.0</v>
      </c>
      <c r="E1394" s="3">
        <v>31.0</v>
      </c>
      <c r="F1394" s="5">
        <v>4.0</v>
      </c>
      <c r="G1394" s="3">
        <v>665.0</v>
      </c>
      <c r="H1394" s="3" t="str">
        <f>VLOOKUP(B1394,'Currency Table'!$M$3:$N$6,2, FALSE)</f>
        <v>EUR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</row>
    <row r="1395" ht="15.75" hidden="1" customHeight="1">
      <c r="A1395" s="3" t="s">
        <v>434</v>
      </c>
      <c r="B1395" s="3" t="s">
        <v>330</v>
      </c>
      <c r="C1395" s="3" t="s">
        <v>352</v>
      </c>
      <c r="D1395" s="4">
        <v>45684.0</v>
      </c>
      <c r="E1395" s="3">
        <v>66.0</v>
      </c>
      <c r="F1395" s="5">
        <v>4.0</v>
      </c>
      <c r="G1395" s="3">
        <v>953.0</v>
      </c>
      <c r="H1395" s="3" t="str">
        <f>VLOOKUP(B1395,'Currency Table'!$M$3:$N$6,2, FALSE)</f>
        <v>EUR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</row>
    <row r="1396" ht="15.75" hidden="1" customHeight="1">
      <c r="A1396" s="3" t="s">
        <v>385</v>
      </c>
      <c r="B1396" s="3" t="s">
        <v>330</v>
      </c>
      <c r="C1396" s="3" t="s">
        <v>347</v>
      </c>
      <c r="D1396" s="4">
        <v>45684.0</v>
      </c>
      <c r="E1396" s="3">
        <v>21.0</v>
      </c>
      <c r="F1396" s="5">
        <v>4.0</v>
      </c>
      <c r="G1396" s="3">
        <v>447.0</v>
      </c>
      <c r="H1396" s="3" t="str">
        <f>VLOOKUP(B1396,'Currency Table'!$M$3:$N$6,2, FALSE)</f>
        <v>EUR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</row>
    <row r="1397" ht="15.75" hidden="1" customHeight="1">
      <c r="A1397" s="3" t="s">
        <v>392</v>
      </c>
      <c r="B1397" s="3" t="s">
        <v>330</v>
      </c>
      <c r="C1397" s="3" t="s">
        <v>347</v>
      </c>
      <c r="D1397" s="4">
        <v>45684.0</v>
      </c>
      <c r="E1397" s="3">
        <v>24.0</v>
      </c>
      <c r="F1397" s="5">
        <v>3.0</v>
      </c>
      <c r="G1397" s="3">
        <v>481.0</v>
      </c>
      <c r="H1397" s="3" t="str">
        <f>VLOOKUP(B1397,'Currency Table'!$M$3:$N$6,2, FALSE)</f>
        <v>EUR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</row>
    <row r="1398" ht="15.75" hidden="1" customHeight="1">
      <c r="A1398" s="3" t="s">
        <v>435</v>
      </c>
      <c r="B1398" s="3" t="s">
        <v>330</v>
      </c>
      <c r="C1398" s="3" t="s">
        <v>352</v>
      </c>
      <c r="D1398" s="4">
        <v>45684.0</v>
      </c>
      <c r="E1398" s="3">
        <v>42.0</v>
      </c>
      <c r="F1398" s="5">
        <v>0.0</v>
      </c>
      <c r="G1398" s="3">
        <v>606.0</v>
      </c>
      <c r="H1398" s="3" t="str">
        <f>VLOOKUP(B1398,'Currency Table'!$M$3:$N$6,2, FALSE)</f>
        <v>EUR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</row>
    <row r="1399" ht="15.75" hidden="1" customHeight="1">
      <c r="A1399" s="3" t="s">
        <v>440</v>
      </c>
      <c r="B1399" s="3" t="s">
        <v>330</v>
      </c>
      <c r="C1399" s="3" t="s">
        <v>352</v>
      </c>
      <c r="D1399" s="4">
        <v>45684.0</v>
      </c>
      <c r="E1399" s="3">
        <v>61.0</v>
      </c>
      <c r="F1399" s="5">
        <v>1.0</v>
      </c>
      <c r="G1399" s="3">
        <v>961.0</v>
      </c>
      <c r="H1399" s="3" t="str">
        <f>VLOOKUP(B1399,'Currency Table'!$M$3:$N$6,2, FALSE)</f>
        <v>EUR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</row>
    <row r="1400" ht="15.75" hidden="1" customHeight="1">
      <c r="A1400" s="3" t="s">
        <v>441</v>
      </c>
      <c r="B1400" s="3" t="s">
        <v>330</v>
      </c>
      <c r="C1400" s="3" t="s">
        <v>352</v>
      </c>
      <c r="D1400" s="4">
        <v>45684.0</v>
      </c>
      <c r="E1400" s="3">
        <v>41.0</v>
      </c>
      <c r="F1400" s="5">
        <v>2.0</v>
      </c>
      <c r="G1400" s="3">
        <v>664.0</v>
      </c>
      <c r="H1400" s="3" t="str">
        <f>VLOOKUP(B1400,'Currency Table'!$M$3:$N$6,2, FALSE)</f>
        <v>EUR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</row>
    <row r="1401" ht="15.75" hidden="1" customHeight="1">
      <c r="A1401" s="3" t="s">
        <v>388</v>
      </c>
      <c r="B1401" s="3" t="s">
        <v>330</v>
      </c>
      <c r="C1401" s="3" t="s">
        <v>338</v>
      </c>
      <c r="D1401" s="4">
        <v>45684.0</v>
      </c>
      <c r="E1401" s="3">
        <v>17.0</v>
      </c>
      <c r="F1401" s="5">
        <v>5.0</v>
      </c>
      <c r="G1401" s="3">
        <v>409.0</v>
      </c>
      <c r="H1401" s="3" t="str">
        <f>VLOOKUP(B1401,'Currency Table'!$M$3:$N$6,2, FALSE)</f>
        <v>EUR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</row>
    <row r="1402" ht="15.75" hidden="1" customHeight="1">
      <c r="A1402" s="3" t="s">
        <v>358</v>
      </c>
      <c r="B1402" s="3" t="s">
        <v>330</v>
      </c>
      <c r="C1402" s="3" t="s">
        <v>331</v>
      </c>
      <c r="D1402" s="4">
        <v>45684.0</v>
      </c>
      <c r="E1402" s="3">
        <v>23.0</v>
      </c>
      <c r="F1402" s="5">
        <v>2.0</v>
      </c>
      <c r="G1402" s="3">
        <v>292.0</v>
      </c>
      <c r="H1402" s="3" t="str">
        <f>VLOOKUP(B1402,'Currency Table'!$M$3:$N$6,2, FALSE)</f>
        <v>EUR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</row>
    <row r="1403" ht="15.75" hidden="1" customHeight="1">
      <c r="A1403" s="3" t="s">
        <v>401</v>
      </c>
      <c r="B1403" s="3" t="s">
        <v>330</v>
      </c>
      <c r="C1403" s="3" t="s">
        <v>335</v>
      </c>
      <c r="D1403" s="4">
        <v>45684.0</v>
      </c>
      <c r="E1403" s="3">
        <v>49.0</v>
      </c>
      <c r="F1403" s="5">
        <v>3.0</v>
      </c>
      <c r="G1403" s="3">
        <v>891.0</v>
      </c>
      <c r="H1403" s="3" t="str">
        <f>VLOOKUP(B1403,'Currency Table'!$M$3:$N$6,2, FALSE)</f>
        <v>EUR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</row>
    <row r="1404" ht="15.75" hidden="1" customHeight="1">
      <c r="A1404" s="3" t="s">
        <v>372</v>
      </c>
      <c r="B1404" s="3" t="s">
        <v>330</v>
      </c>
      <c r="C1404" s="3" t="s">
        <v>340</v>
      </c>
      <c r="D1404" s="4">
        <v>45684.0</v>
      </c>
      <c r="E1404" s="3">
        <v>56.0</v>
      </c>
      <c r="F1404" s="5">
        <v>0.0</v>
      </c>
      <c r="G1404" s="3">
        <v>857.0</v>
      </c>
      <c r="H1404" s="3" t="str">
        <f>VLOOKUP(B1404,'Currency Table'!$M$3:$N$6,2, FALSE)</f>
        <v>EUR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</row>
    <row r="1405" ht="15.75" hidden="1" customHeight="1">
      <c r="A1405" s="3" t="s">
        <v>398</v>
      </c>
      <c r="B1405" s="3" t="s">
        <v>330</v>
      </c>
      <c r="C1405" s="3" t="s">
        <v>347</v>
      </c>
      <c r="D1405" s="4">
        <v>45684.0</v>
      </c>
      <c r="E1405" s="3">
        <v>11.0</v>
      </c>
      <c r="F1405" s="5">
        <v>3.0</v>
      </c>
      <c r="G1405" s="3">
        <v>168.0</v>
      </c>
      <c r="H1405" s="3" t="str">
        <f>VLOOKUP(B1405,'Currency Table'!$M$3:$N$6,2, FALSE)</f>
        <v>EUR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</row>
    <row r="1406" ht="15.75" hidden="1" customHeight="1">
      <c r="A1406" s="3" t="s">
        <v>407</v>
      </c>
      <c r="B1406" s="3" t="s">
        <v>330</v>
      </c>
      <c r="C1406" s="3" t="s">
        <v>335</v>
      </c>
      <c r="D1406" s="4">
        <v>45684.0</v>
      </c>
      <c r="E1406" s="3">
        <v>68.0</v>
      </c>
      <c r="F1406" s="5">
        <v>0.0</v>
      </c>
      <c r="G1406" s="3">
        <v>1045.0</v>
      </c>
      <c r="H1406" s="3" t="str">
        <f>VLOOKUP(B1406,'Currency Table'!$M$3:$N$6,2, FALSE)</f>
        <v>EUR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</row>
    <row r="1407" ht="15.75" hidden="1" customHeight="1">
      <c r="A1407" s="3" t="s">
        <v>411</v>
      </c>
      <c r="B1407" s="3" t="s">
        <v>330</v>
      </c>
      <c r="C1407" s="3" t="s">
        <v>338</v>
      </c>
      <c r="D1407" s="4">
        <v>45684.0</v>
      </c>
      <c r="E1407" s="3">
        <v>49.0</v>
      </c>
      <c r="F1407" s="5">
        <v>2.0</v>
      </c>
      <c r="G1407" s="3">
        <v>704.0</v>
      </c>
      <c r="H1407" s="3" t="str">
        <f>VLOOKUP(B1407,'Currency Table'!$M$3:$N$6,2, FALSE)</f>
        <v>EUR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</row>
    <row r="1408" ht="15.75" hidden="1" customHeight="1">
      <c r="A1408" s="3" t="s">
        <v>381</v>
      </c>
      <c r="B1408" s="3" t="s">
        <v>330</v>
      </c>
      <c r="C1408" s="3" t="s">
        <v>333</v>
      </c>
      <c r="D1408" s="4">
        <v>45684.0</v>
      </c>
      <c r="E1408" s="3">
        <v>51.0</v>
      </c>
      <c r="F1408" s="5">
        <v>1.0</v>
      </c>
      <c r="G1408" s="3">
        <v>750.0</v>
      </c>
      <c r="H1408" s="3" t="str">
        <f>VLOOKUP(B1408,'Currency Table'!$M$3:$N$6,2, FALSE)</f>
        <v>EUR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</row>
    <row r="1409" ht="15.75" hidden="1" customHeight="1">
      <c r="A1409" s="3" t="s">
        <v>373</v>
      </c>
      <c r="B1409" s="3" t="s">
        <v>330</v>
      </c>
      <c r="C1409" s="3" t="s">
        <v>340</v>
      </c>
      <c r="D1409" s="4">
        <v>45684.0</v>
      </c>
      <c r="E1409" s="3">
        <v>60.0</v>
      </c>
      <c r="F1409" s="5">
        <v>4.0</v>
      </c>
      <c r="G1409" s="3">
        <v>794.0</v>
      </c>
      <c r="H1409" s="3" t="str">
        <f>VLOOKUP(B1409,'Currency Table'!$M$3:$N$6,2, FALSE)</f>
        <v>EUR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</row>
    <row r="1410" ht="15.75" hidden="1" customHeight="1">
      <c r="A1410" s="3" t="s">
        <v>395</v>
      </c>
      <c r="B1410" s="3" t="s">
        <v>330</v>
      </c>
      <c r="C1410" s="3" t="s">
        <v>333</v>
      </c>
      <c r="D1410" s="4">
        <v>45684.0</v>
      </c>
      <c r="E1410" s="3">
        <v>26.0</v>
      </c>
      <c r="F1410" s="5">
        <v>5.0</v>
      </c>
      <c r="G1410" s="3">
        <v>251.0</v>
      </c>
      <c r="H1410" s="3" t="str">
        <f>VLOOKUP(B1410,'Currency Table'!$M$3:$N$6,2, FALSE)</f>
        <v>EUR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</row>
    <row r="1411" ht="15.75" hidden="1" customHeight="1">
      <c r="A1411" s="3" t="s">
        <v>374</v>
      </c>
      <c r="B1411" s="3" t="s">
        <v>330</v>
      </c>
      <c r="C1411" s="3" t="s">
        <v>340</v>
      </c>
      <c r="D1411" s="4">
        <v>45684.0</v>
      </c>
      <c r="E1411" s="3">
        <v>50.0</v>
      </c>
      <c r="F1411" s="5">
        <v>2.0</v>
      </c>
      <c r="G1411" s="3">
        <v>891.0</v>
      </c>
      <c r="H1411" s="3" t="str">
        <f>VLOOKUP(B1411,'Currency Table'!$M$3:$N$6,2, FALSE)</f>
        <v>EUR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</row>
    <row r="1412" ht="15.75" hidden="1" customHeight="1">
      <c r="A1412" s="3" t="s">
        <v>422</v>
      </c>
      <c r="B1412" s="3" t="s">
        <v>330</v>
      </c>
      <c r="C1412" s="3" t="s">
        <v>335</v>
      </c>
      <c r="D1412" s="4">
        <v>45684.0</v>
      </c>
      <c r="E1412" s="3">
        <v>34.0</v>
      </c>
      <c r="F1412" s="5">
        <v>5.0</v>
      </c>
      <c r="G1412" s="3">
        <v>578.0</v>
      </c>
      <c r="H1412" s="3" t="str">
        <f>VLOOKUP(B1412,'Currency Table'!$M$3:$N$6,2, FALSE)</f>
        <v>EUR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</row>
    <row r="1413" ht="15.75" hidden="1" customHeight="1">
      <c r="A1413" s="3" t="s">
        <v>399</v>
      </c>
      <c r="B1413" s="3" t="s">
        <v>330</v>
      </c>
      <c r="C1413" s="3" t="s">
        <v>347</v>
      </c>
      <c r="D1413" s="4">
        <v>45684.0</v>
      </c>
      <c r="E1413" s="3">
        <v>40.0</v>
      </c>
      <c r="F1413" s="5">
        <v>0.0</v>
      </c>
      <c r="G1413" s="3">
        <v>525.0</v>
      </c>
      <c r="H1413" s="3" t="str">
        <f>VLOOKUP(B1413,'Currency Table'!$M$3:$N$6,2, FALSE)</f>
        <v>EUR</v>
      </c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</row>
    <row r="1414" ht="15.75" hidden="1" customHeight="1">
      <c r="A1414" s="3" t="s">
        <v>402</v>
      </c>
      <c r="B1414" s="3" t="s">
        <v>330</v>
      </c>
      <c r="C1414" s="3" t="s">
        <v>333</v>
      </c>
      <c r="D1414" s="4">
        <v>45684.0</v>
      </c>
      <c r="E1414" s="3">
        <v>33.0</v>
      </c>
      <c r="F1414" s="5">
        <v>3.0</v>
      </c>
      <c r="G1414" s="3">
        <v>584.0</v>
      </c>
      <c r="H1414" s="3" t="str">
        <f>VLOOKUP(B1414,'Currency Table'!$M$3:$N$6,2, FALSE)</f>
        <v>EUR</v>
      </c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</row>
    <row r="1415" ht="15.75" hidden="1" customHeight="1">
      <c r="A1415" s="3" t="s">
        <v>417</v>
      </c>
      <c r="B1415" s="3" t="s">
        <v>330</v>
      </c>
      <c r="C1415" s="3" t="s">
        <v>333</v>
      </c>
      <c r="D1415" s="4">
        <v>45684.0</v>
      </c>
      <c r="E1415" s="3">
        <v>23.0</v>
      </c>
      <c r="F1415" s="5">
        <v>0.0</v>
      </c>
      <c r="G1415" s="3">
        <v>348.0</v>
      </c>
      <c r="H1415" s="3" t="str">
        <f>VLOOKUP(B1415,'Currency Table'!$M$3:$N$6,2, FALSE)</f>
        <v>EUR</v>
      </c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</row>
    <row r="1416" ht="15.75" hidden="1" customHeight="1">
      <c r="A1416" s="3" t="s">
        <v>403</v>
      </c>
      <c r="B1416" s="3" t="s">
        <v>330</v>
      </c>
      <c r="C1416" s="3" t="s">
        <v>347</v>
      </c>
      <c r="D1416" s="4">
        <v>45684.0</v>
      </c>
      <c r="E1416" s="3">
        <v>44.0</v>
      </c>
      <c r="F1416" s="5">
        <v>3.0</v>
      </c>
      <c r="G1416" s="3">
        <v>536.0</v>
      </c>
      <c r="H1416" s="3" t="str">
        <f>VLOOKUP(B1416,'Currency Table'!$M$3:$N$6,2, FALSE)</f>
        <v>EUR</v>
      </c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</row>
    <row r="1417" ht="15.75" hidden="1" customHeight="1">
      <c r="A1417" s="3" t="s">
        <v>437</v>
      </c>
      <c r="B1417" s="3" t="s">
        <v>330</v>
      </c>
      <c r="C1417" s="3" t="s">
        <v>333</v>
      </c>
      <c r="D1417" s="4">
        <v>45684.0</v>
      </c>
      <c r="E1417" s="3">
        <v>53.0</v>
      </c>
      <c r="F1417" s="5">
        <v>4.0</v>
      </c>
      <c r="G1417" s="3">
        <v>894.0</v>
      </c>
      <c r="H1417" s="3" t="str">
        <f>VLOOKUP(B1417,'Currency Table'!$M$3:$N$6,2, FALSE)</f>
        <v>EUR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</row>
    <row r="1418" ht="15.75" hidden="1" customHeight="1">
      <c r="A1418" s="3" t="s">
        <v>429</v>
      </c>
      <c r="B1418" s="3" t="s">
        <v>330</v>
      </c>
      <c r="C1418" s="3" t="s">
        <v>335</v>
      </c>
      <c r="D1418" s="4">
        <v>45684.0</v>
      </c>
      <c r="E1418" s="3">
        <v>57.0</v>
      </c>
      <c r="F1418" s="5">
        <v>3.0</v>
      </c>
      <c r="G1418" s="3">
        <v>887.0</v>
      </c>
      <c r="H1418" s="3" t="str">
        <f>VLOOKUP(B1418,'Currency Table'!$M$3:$N$6,2, FALSE)</f>
        <v>EUR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</row>
    <row r="1419" ht="15.75" hidden="1" customHeight="1">
      <c r="A1419" s="3" t="s">
        <v>416</v>
      </c>
      <c r="B1419" s="3" t="s">
        <v>330</v>
      </c>
      <c r="C1419" s="3" t="s">
        <v>338</v>
      </c>
      <c r="D1419" s="4">
        <v>45684.0</v>
      </c>
      <c r="E1419" s="3">
        <v>55.0</v>
      </c>
      <c r="F1419" s="5">
        <v>3.0</v>
      </c>
      <c r="G1419" s="3">
        <v>720.0</v>
      </c>
      <c r="H1419" s="3" t="str">
        <f>VLOOKUP(B1419,'Currency Table'!$M$3:$N$6,2, FALSE)</f>
        <v>EUR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</row>
    <row r="1420" ht="15.75" hidden="1" customHeight="1">
      <c r="A1420" s="3" t="s">
        <v>423</v>
      </c>
      <c r="B1420" s="3" t="s">
        <v>330</v>
      </c>
      <c r="C1420" s="3" t="s">
        <v>338</v>
      </c>
      <c r="D1420" s="4">
        <v>45684.0</v>
      </c>
      <c r="E1420" s="3">
        <v>32.0</v>
      </c>
      <c r="F1420" s="5">
        <v>1.0</v>
      </c>
      <c r="G1420" s="3">
        <v>656.0</v>
      </c>
      <c r="H1420" s="3" t="str">
        <f>VLOOKUP(B1420,'Currency Table'!$M$3:$N$6,2, FALSE)</f>
        <v>EUR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</row>
    <row r="1421" ht="15.75" hidden="1" customHeight="1">
      <c r="A1421" s="3" t="s">
        <v>409</v>
      </c>
      <c r="B1421" s="3" t="s">
        <v>330</v>
      </c>
      <c r="C1421" s="3" t="s">
        <v>347</v>
      </c>
      <c r="D1421" s="4">
        <v>45684.0</v>
      </c>
      <c r="E1421" s="3">
        <v>66.0</v>
      </c>
      <c r="F1421" s="5">
        <v>7.0</v>
      </c>
      <c r="G1421" s="3">
        <v>935.0</v>
      </c>
      <c r="H1421" s="3" t="str">
        <f>VLOOKUP(B1421,'Currency Table'!$M$3:$N$6,2, FALSE)</f>
        <v>EUR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</row>
    <row r="1422" ht="15.75" hidden="1" customHeight="1">
      <c r="A1422" s="3" t="s">
        <v>410</v>
      </c>
      <c r="B1422" s="3" t="s">
        <v>330</v>
      </c>
      <c r="C1422" s="3" t="s">
        <v>340</v>
      </c>
      <c r="D1422" s="4">
        <v>45684.0</v>
      </c>
      <c r="E1422" s="3">
        <v>62.0</v>
      </c>
      <c r="F1422" s="5">
        <v>4.0</v>
      </c>
      <c r="G1422" s="3">
        <v>927.0</v>
      </c>
      <c r="H1422" s="3" t="str">
        <f>VLOOKUP(B1422,'Currency Table'!$M$3:$N$6,2, FALSE)</f>
        <v>EUR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</row>
    <row r="1423" ht="15.75" hidden="1" customHeight="1">
      <c r="A1423" s="3" t="s">
        <v>420</v>
      </c>
      <c r="B1423" s="3" t="s">
        <v>330</v>
      </c>
      <c r="C1423" s="3" t="s">
        <v>347</v>
      </c>
      <c r="D1423" s="4">
        <v>45684.0</v>
      </c>
      <c r="E1423" s="3">
        <v>66.0</v>
      </c>
      <c r="F1423" s="5">
        <v>5.0</v>
      </c>
      <c r="G1423" s="3">
        <v>968.0</v>
      </c>
      <c r="H1423" s="3" t="str">
        <f>VLOOKUP(B1423,'Currency Table'!$M$3:$N$6,2, FALSE)</f>
        <v>EUR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</row>
    <row r="1424" ht="15.75" hidden="1" customHeight="1">
      <c r="A1424" s="3" t="s">
        <v>426</v>
      </c>
      <c r="B1424" s="3" t="s">
        <v>330</v>
      </c>
      <c r="C1424" s="3" t="s">
        <v>338</v>
      </c>
      <c r="D1424" s="4">
        <v>45684.0</v>
      </c>
      <c r="E1424" s="3">
        <v>19.0</v>
      </c>
      <c r="F1424" s="5">
        <v>2.0</v>
      </c>
      <c r="G1424" s="3">
        <v>483.0</v>
      </c>
      <c r="H1424" s="3" t="str">
        <f>VLOOKUP(B1424,'Currency Table'!$M$3:$N$6,2, FALSE)</f>
        <v>EUR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</row>
    <row r="1425" ht="15.75" hidden="1" customHeight="1">
      <c r="A1425" s="3" t="s">
        <v>367</v>
      </c>
      <c r="B1425" s="3" t="s">
        <v>330</v>
      </c>
      <c r="C1425" s="3" t="s">
        <v>331</v>
      </c>
      <c r="D1425" s="4">
        <v>45684.0</v>
      </c>
      <c r="E1425" s="3">
        <v>21.0</v>
      </c>
      <c r="F1425" s="5">
        <v>2.0</v>
      </c>
      <c r="G1425" s="3">
        <v>467.0</v>
      </c>
      <c r="H1425" s="3" t="str">
        <f>VLOOKUP(B1425,'Currency Table'!$M$3:$N$6,2, FALSE)</f>
        <v>EUR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</row>
    <row r="1426" ht="15.75" hidden="1" customHeight="1">
      <c r="A1426" s="3" t="s">
        <v>421</v>
      </c>
      <c r="B1426" s="3" t="s">
        <v>330</v>
      </c>
      <c r="C1426" s="3" t="s">
        <v>347</v>
      </c>
      <c r="D1426" s="4">
        <v>45684.0</v>
      </c>
      <c r="E1426" s="3">
        <v>61.0</v>
      </c>
      <c r="F1426" s="5">
        <v>4.0</v>
      </c>
      <c r="G1426" s="3">
        <v>955.0</v>
      </c>
      <c r="H1426" s="3" t="str">
        <f>VLOOKUP(B1426,'Currency Table'!$M$3:$N$6,2, FALSE)</f>
        <v>EUR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</row>
    <row r="1427" ht="15.75" hidden="1" customHeight="1">
      <c r="A1427" s="3" t="s">
        <v>377</v>
      </c>
      <c r="B1427" s="3" t="s">
        <v>330</v>
      </c>
      <c r="C1427" s="3" t="s">
        <v>331</v>
      </c>
      <c r="D1427" s="4">
        <v>45684.0</v>
      </c>
      <c r="E1427" s="3">
        <v>11.0</v>
      </c>
      <c r="F1427" s="5">
        <v>2.0</v>
      </c>
      <c r="G1427" s="3">
        <v>195.0</v>
      </c>
      <c r="H1427" s="3" t="str">
        <f>VLOOKUP(B1427,'Currency Table'!$M$3:$N$6,2, FALSE)</f>
        <v>EUR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</row>
    <row r="1428" ht="15.75" hidden="1" customHeight="1">
      <c r="A1428" s="3" t="s">
        <v>382</v>
      </c>
      <c r="B1428" s="3" t="s">
        <v>330</v>
      </c>
      <c r="C1428" s="3" t="s">
        <v>331</v>
      </c>
      <c r="D1428" s="4">
        <v>45684.0</v>
      </c>
      <c r="E1428" s="3">
        <v>55.0</v>
      </c>
      <c r="F1428" s="5">
        <v>6.0</v>
      </c>
      <c r="G1428" s="3">
        <v>763.0</v>
      </c>
      <c r="H1428" s="3" t="str">
        <f>VLOOKUP(B1428,'Currency Table'!$M$3:$N$6,2, FALSE)</f>
        <v>EUR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</row>
    <row r="1429" ht="15.75" hidden="1" customHeight="1">
      <c r="A1429" s="3" t="s">
        <v>387</v>
      </c>
      <c r="B1429" s="3" t="s">
        <v>330</v>
      </c>
      <c r="C1429" s="3" t="s">
        <v>331</v>
      </c>
      <c r="D1429" s="4">
        <v>45684.0</v>
      </c>
      <c r="E1429" s="3">
        <v>25.0</v>
      </c>
      <c r="F1429" s="5">
        <v>1.0</v>
      </c>
      <c r="G1429" s="3">
        <v>405.0</v>
      </c>
      <c r="H1429" s="3" t="str">
        <f>VLOOKUP(B1429,'Currency Table'!$M$3:$N$6,2, FALSE)</f>
        <v>EUR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</row>
    <row r="1430" ht="15.75" hidden="1" customHeight="1">
      <c r="A1430" s="3" t="s">
        <v>390</v>
      </c>
      <c r="B1430" s="3" t="s">
        <v>330</v>
      </c>
      <c r="C1430" s="3" t="s">
        <v>331</v>
      </c>
      <c r="D1430" s="4">
        <v>45684.0</v>
      </c>
      <c r="E1430" s="3">
        <v>60.0</v>
      </c>
      <c r="F1430" s="5">
        <v>0.0</v>
      </c>
      <c r="G1430" s="3">
        <v>714.0</v>
      </c>
      <c r="H1430" s="3" t="str">
        <f>VLOOKUP(B1430,'Currency Table'!$M$3:$N$6,2, FALSE)</f>
        <v>EUR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</row>
    <row r="1431" ht="15.75" hidden="1" customHeight="1">
      <c r="A1431" s="3" t="s">
        <v>430</v>
      </c>
      <c r="B1431" s="3" t="s">
        <v>330</v>
      </c>
      <c r="C1431" s="3" t="s">
        <v>347</v>
      </c>
      <c r="D1431" s="4">
        <v>45684.0</v>
      </c>
      <c r="E1431" s="3">
        <v>40.0</v>
      </c>
      <c r="F1431" s="5">
        <v>0.0</v>
      </c>
      <c r="G1431" s="3">
        <v>656.0</v>
      </c>
      <c r="H1431" s="3" t="str">
        <f>VLOOKUP(B1431,'Currency Table'!$M$3:$N$6,2, FALSE)</f>
        <v>EUR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</row>
    <row r="1432" ht="15.75" hidden="1" customHeight="1">
      <c r="A1432" s="3" t="s">
        <v>427</v>
      </c>
      <c r="B1432" s="3" t="s">
        <v>330</v>
      </c>
      <c r="C1432" s="3" t="s">
        <v>338</v>
      </c>
      <c r="D1432" s="4">
        <v>45684.0</v>
      </c>
      <c r="E1432" s="3">
        <v>33.0</v>
      </c>
      <c r="F1432" s="5">
        <v>5.0</v>
      </c>
      <c r="G1432" s="3">
        <v>516.0</v>
      </c>
      <c r="H1432" s="3" t="str">
        <f>VLOOKUP(B1432,'Currency Table'!$M$3:$N$6,2, FALSE)</f>
        <v>EUR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</row>
    <row r="1433" ht="15.75" hidden="1" customHeight="1">
      <c r="A1433" s="3" t="s">
        <v>433</v>
      </c>
      <c r="B1433" s="3" t="s">
        <v>330</v>
      </c>
      <c r="C1433" s="3" t="s">
        <v>338</v>
      </c>
      <c r="D1433" s="4">
        <v>45684.0</v>
      </c>
      <c r="E1433" s="3">
        <v>52.0</v>
      </c>
      <c r="F1433" s="5">
        <v>3.0</v>
      </c>
      <c r="G1433" s="3">
        <v>880.0</v>
      </c>
      <c r="H1433" s="3" t="str">
        <f>VLOOKUP(B1433,'Currency Table'!$M$3:$N$6,2, FALSE)</f>
        <v>EUR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</row>
    <row r="1434" ht="15.75" hidden="1" customHeight="1">
      <c r="A1434" s="3" t="s">
        <v>412</v>
      </c>
      <c r="B1434" s="3" t="s">
        <v>330</v>
      </c>
      <c r="C1434" s="3" t="s">
        <v>340</v>
      </c>
      <c r="D1434" s="4">
        <v>45684.0</v>
      </c>
      <c r="E1434" s="3">
        <v>37.0</v>
      </c>
      <c r="F1434" s="5">
        <v>4.0</v>
      </c>
      <c r="G1434" s="3">
        <v>536.0</v>
      </c>
      <c r="H1434" s="3" t="str">
        <f>VLOOKUP(B1434,'Currency Table'!$M$3:$N$6,2, FALSE)</f>
        <v>EUR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</row>
    <row r="1435" ht="15.75" hidden="1" customHeight="1">
      <c r="A1435" s="3" t="s">
        <v>432</v>
      </c>
      <c r="B1435" s="3" t="s">
        <v>330</v>
      </c>
      <c r="C1435" s="3" t="s">
        <v>347</v>
      </c>
      <c r="D1435" s="4">
        <v>45684.0</v>
      </c>
      <c r="E1435" s="3">
        <v>57.0</v>
      </c>
      <c r="F1435" s="5">
        <v>1.0</v>
      </c>
      <c r="G1435" s="3">
        <v>719.0</v>
      </c>
      <c r="H1435" s="3" t="str">
        <f>VLOOKUP(B1435,'Currency Table'!$M$3:$N$6,2, FALSE)</f>
        <v>EUR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</row>
    <row r="1436" ht="15.75" hidden="1" customHeight="1">
      <c r="A1436" s="3" t="s">
        <v>406</v>
      </c>
      <c r="B1436" s="3" t="s">
        <v>330</v>
      </c>
      <c r="C1436" s="3" t="s">
        <v>331</v>
      </c>
      <c r="D1436" s="4">
        <v>45684.0</v>
      </c>
      <c r="E1436" s="3">
        <v>29.0</v>
      </c>
      <c r="F1436" s="5">
        <v>3.0</v>
      </c>
      <c r="G1436" s="3">
        <v>440.0</v>
      </c>
      <c r="H1436" s="3" t="str">
        <f>VLOOKUP(B1436,'Currency Table'!$M$3:$N$6,2, FALSE)</f>
        <v>EUR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</row>
    <row r="1437" ht="15.75" hidden="1" customHeight="1">
      <c r="A1437" s="3" t="s">
        <v>444</v>
      </c>
      <c r="B1437" s="3" t="s">
        <v>330</v>
      </c>
      <c r="C1437" s="3" t="s">
        <v>331</v>
      </c>
      <c r="D1437" s="4">
        <v>45684.0</v>
      </c>
      <c r="E1437" s="3">
        <v>59.0</v>
      </c>
      <c r="F1437" s="5">
        <v>2.0</v>
      </c>
      <c r="G1437" s="3">
        <v>761.0</v>
      </c>
      <c r="H1437" s="3" t="str">
        <f>VLOOKUP(B1437,'Currency Table'!$M$3:$N$6,2, FALSE)</f>
        <v>EUR</v>
      </c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</row>
    <row r="1438" ht="15.75" hidden="1" customHeight="1">
      <c r="A1438" s="3" t="s">
        <v>414</v>
      </c>
      <c r="B1438" s="3" t="s">
        <v>330</v>
      </c>
      <c r="C1438" s="3" t="s">
        <v>340</v>
      </c>
      <c r="D1438" s="4">
        <v>45684.0</v>
      </c>
      <c r="E1438" s="3">
        <v>57.0</v>
      </c>
      <c r="F1438" s="5">
        <v>1.0</v>
      </c>
      <c r="G1438" s="3">
        <v>793.0</v>
      </c>
      <c r="H1438" s="3" t="str">
        <f>VLOOKUP(B1438,'Currency Table'!$M$3:$N$6,2, FALSE)</f>
        <v>EUR</v>
      </c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</row>
    <row r="1439" ht="15.75" hidden="1" customHeight="1">
      <c r="A1439" s="3" t="s">
        <v>424</v>
      </c>
      <c r="B1439" s="3" t="s">
        <v>330</v>
      </c>
      <c r="C1439" s="3" t="s">
        <v>331</v>
      </c>
      <c r="D1439" s="4">
        <v>45684.0</v>
      </c>
      <c r="E1439" s="3">
        <v>42.0</v>
      </c>
      <c r="F1439" s="5">
        <v>1.0</v>
      </c>
      <c r="G1439" s="3">
        <v>524.0</v>
      </c>
      <c r="H1439" s="3" t="str">
        <f>VLOOKUP(B1439,'Currency Table'!$M$3:$N$6,2, FALSE)</f>
        <v>EUR</v>
      </c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</row>
    <row r="1440" ht="15.75" hidden="1" customHeight="1">
      <c r="A1440" s="3" t="s">
        <v>415</v>
      </c>
      <c r="B1440" s="3" t="s">
        <v>330</v>
      </c>
      <c r="C1440" s="3" t="s">
        <v>340</v>
      </c>
      <c r="D1440" s="4">
        <v>45684.0</v>
      </c>
      <c r="E1440" s="3">
        <v>54.0</v>
      </c>
      <c r="F1440" s="5">
        <v>4.0</v>
      </c>
      <c r="G1440" s="3">
        <v>892.0</v>
      </c>
      <c r="H1440" s="3" t="str">
        <f>VLOOKUP(B1440,'Currency Table'!$M$3:$N$6,2, FALSE)</f>
        <v>EUR</v>
      </c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</row>
    <row r="1441" ht="15.75" hidden="1" customHeight="1">
      <c r="A1441" s="3" t="s">
        <v>418</v>
      </c>
      <c r="B1441" s="3" t="s">
        <v>330</v>
      </c>
      <c r="C1441" s="3" t="s">
        <v>340</v>
      </c>
      <c r="D1441" s="4">
        <v>45684.0</v>
      </c>
      <c r="E1441" s="3">
        <v>42.0</v>
      </c>
      <c r="F1441" s="5">
        <v>1.0</v>
      </c>
      <c r="G1441" s="3">
        <v>539.0</v>
      </c>
      <c r="H1441" s="3" t="str">
        <f>VLOOKUP(B1441,'Currency Table'!$M$3:$N$6,2, FALSE)</f>
        <v>EUR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</row>
    <row r="1442" ht="15.75" hidden="1" customHeight="1">
      <c r="A1442" s="3" t="s">
        <v>428</v>
      </c>
      <c r="B1442" s="3" t="s">
        <v>330</v>
      </c>
      <c r="C1442" s="3" t="s">
        <v>331</v>
      </c>
      <c r="D1442" s="4">
        <v>45684.0</v>
      </c>
      <c r="E1442" s="3">
        <v>51.0</v>
      </c>
      <c r="F1442" s="5">
        <v>2.0</v>
      </c>
      <c r="G1442" s="3">
        <v>726.0</v>
      </c>
      <c r="H1442" s="3" t="str">
        <f>VLOOKUP(B1442,'Currency Table'!$M$3:$N$6,2, FALSE)</f>
        <v>EUR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</row>
    <row r="1443" ht="15.75" hidden="1" customHeight="1">
      <c r="A1443" s="3" t="s">
        <v>443</v>
      </c>
      <c r="B1443" s="3" t="s">
        <v>330</v>
      </c>
      <c r="C1443" s="3" t="s">
        <v>335</v>
      </c>
      <c r="D1443" s="4">
        <v>45684.0</v>
      </c>
      <c r="E1443" s="3">
        <v>28.0</v>
      </c>
      <c r="F1443" s="5">
        <v>3.0</v>
      </c>
      <c r="G1443" s="3">
        <v>368.0</v>
      </c>
      <c r="H1443" s="3" t="str">
        <f>VLOOKUP(B1443,'Currency Table'!$M$3:$N$6,2, FALSE)</f>
        <v>EUR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</row>
    <row r="1444" ht="15.75" hidden="1" customHeight="1">
      <c r="A1444" s="3" t="s">
        <v>436</v>
      </c>
      <c r="B1444" s="3" t="s">
        <v>330</v>
      </c>
      <c r="C1444" s="3" t="s">
        <v>335</v>
      </c>
      <c r="D1444" s="4">
        <v>45684.0</v>
      </c>
      <c r="E1444" s="3">
        <v>15.0</v>
      </c>
      <c r="F1444" s="5">
        <v>0.0</v>
      </c>
      <c r="G1444" s="3">
        <v>236.0</v>
      </c>
      <c r="H1444" s="3" t="str">
        <f>VLOOKUP(B1444,'Currency Table'!$M$3:$N$6,2, FALSE)</f>
        <v>EUR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</row>
    <row r="1445" ht="15.75" customHeight="1">
      <c r="A1445" s="3"/>
      <c r="B1445" s="3"/>
      <c r="C1445" s="3"/>
      <c r="D1445" s="4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</row>
    <row r="1446" ht="15.75" customHeight="1">
      <c r="A1446" s="3"/>
      <c r="B1446" s="3"/>
      <c r="C1446" s="3"/>
      <c r="D1446" s="4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</row>
    <row r="1447" ht="15.75" customHeight="1">
      <c r="A1447" s="3"/>
      <c r="B1447" s="3"/>
      <c r="C1447" s="3"/>
      <c r="D1447" s="4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</row>
    <row r="1448" ht="15.75" customHeight="1">
      <c r="A1448" s="3"/>
      <c r="B1448" s="3"/>
      <c r="C1448" s="3"/>
      <c r="D1448" s="4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</row>
    <row r="1449" ht="15.75" customHeight="1">
      <c r="A1449" s="3"/>
      <c r="B1449" s="3"/>
      <c r="C1449" s="3"/>
      <c r="D1449" s="4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</row>
    <row r="1450" ht="15.75" customHeight="1">
      <c r="A1450" s="3"/>
      <c r="B1450" s="3"/>
      <c r="C1450" s="3"/>
      <c r="D1450" s="4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</row>
    <row r="1451" ht="15.75" customHeight="1">
      <c r="A1451" s="3"/>
      <c r="B1451" s="3"/>
      <c r="C1451" s="3"/>
      <c r="D1451" s="4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</row>
    <row r="1452" ht="15.75" customHeight="1">
      <c r="A1452" s="3"/>
      <c r="B1452" s="3"/>
      <c r="C1452" s="3"/>
      <c r="D1452" s="4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</row>
    <row r="1453" ht="15.75" customHeight="1">
      <c r="A1453" s="3"/>
      <c r="B1453" s="3"/>
      <c r="C1453" s="3"/>
      <c r="D1453" s="4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</row>
    <row r="1454" ht="15.75" customHeight="1">
      <c r="A1454" s="3"/>
      <c r="B1454" s="3"/>
      <c r="C1454" s="3"/>
      <c r="D1454" s="4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</row>
    <row r="1455" ht="15.75" customHeight="1">
      <c r="A1455" s="3"/>
      <c r="B1455" s="3"/>
      <c r="C1455" s="3"/>
      <c r="D1455" s="4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</row>
    <row r="1456" ht="15.75" customHeight="1">
      <c r="A1456" s="3"/>
      <c r="B1456" s="3"/>
      <c r="C1456" s="3"/>
      <c r="D1456" s="4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</row>
    <row r="1457" ht="15.75" customHeight="1">
      <c r="A1457" s="3"/>
      <c r="B1457" s="3"/>
      <c r="C1457" s="3"/>
      <c r="D1457" s="4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</row>
    <row r="1458" ht="15.75" customHeight="1">
      <c r="A1458" s="3"/>
      <c r="B1458" s="3"/>
      <c r="C1458" s="3"/>
      <c r="D1458" s="4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</row>
    <row r="1459" ht="15.75" customHeight="1">
      <c r="A1459" s="3"/>
      <c r="B1459" s="3"/>
      <c r="C1459" s="3"/>
      <c r="D1459" s="4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</row>
    <row r="1460" ht="15.75" customHeight="1">
      <c r="A1460" s="3"/>
      <c r="B1460" s="3"/>
      <c r="C1460" s="3"/>
      <c r="D1460" s="4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</row>
    <row r="1461" ht="15.75" customHeight="1">
      <c r="A1461" s="3"/>
      <c r="B1461" s="3"/>
      <c r="C1461" s="3"/>
      <c r="D1461" s="4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</row>
    <row r="1462" ht="15.75" customHeight="1">
      <c r="A1462" s="3"/>
      <c r="B1462" s="3"/>
      <c r="C1462" s="3"/>
      <c r="D1462" s="4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</row>
    <row r="1463" ht="15.75" customHeight="1">
      <c r="A1463" s="3"/>
      <c r="B1463" s="3"/>
      <c r="C1463" s="3"/>
      <c r="D1463" s="4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</row>
    <row r="1464" ht="15.75" customHeight="1">
      <c r="A1464" s="3"/>
      <c r="B1464" s="3"/>
      <c r="C1464" s="3"/>
      <c r="D1464" s="4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</row>
    <row r="1465" ht="15.75" customHeight="1">
      <c r="A1465" s="3"/>
      <c r="B1465" s="3"/>
      <c r="C1465" s="3"/>
      <c r="D1465" s="4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</row>
    <row r="1466" ht="15.75" customHeight="1">
      <c r="A1466" s="3"/>
      <c r="B1466" s="3"/>
      <c r="C1466" s="3"/>
      <c r="D1466" s="4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</row>
    <row r="1467" ht="15.75" customHeight="1">
      <c r="A1467" s="3"/>
      <c r="B1467" s="3"/>
      <c r="C1467" s="3"/>
      <c r="D1467" s="4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</row>
    <row r="1468" ht="15.75" customHeight="1">
      <c r="A1468" s="3"/>
      <c r="B1468" s="3"/>
      <c r="C1468" s="3"/>
      <c r="D1468" s="4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</row>
    <row r="1469" ht="15.75" customHeight="1">
      <c r="A1469" s="3"/>
      <c r="B1469" s="3"/>
      <c r="C1469" s="3"/>
      <c r="D1469" s="4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</row>
    <row r="1470" ht="15.75" customHeight="1">
      <c r="A1470" s="3"/>
      <c r="B1470" s="3"/>
      <c r="C1470" s="3"/>
      <c r="D1470" s="4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</row>
    <row r="1471" ht="15.75" customHeight="1">
      <c r="A1471" s="3"/>
      <c r="B1471" s="3"/>
      <c r="C1471" s="3"/>
      <c r="D1471" s="4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</row>
    <row r="1472" ht="15.75" customHeight="1">
      <c r="A1472" s="3"/>
      <c r="B1472" s="3"/>
      <c r="C1472" s="3"/>
      <c r="D1472" s="4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</row>
    <row r="1473" ht="15.75" customHeight="1">
      <c r="A1473" s="3"/>
      <c r="B1473" s="3"/>
      <c r="C1473" s="3"/>
      <c r="D1473" s="4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</row>
    <row r="1474" ht="15.75" customHeight="1">
      <c r="A1474" s="3"/>
      <c r="B1474" s="3"/>
      <c r="C1474" s="3"/>
      <c r="D1474" s="4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</row>
    <row r="1475" ht="15.75" customHeight="1">
      <c r="A1475" s="3"/>
      <c r="B1475" s="3"/>
      <c r="C1475" s="3"/>
      <c r="D1475" s="4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</row>
    <row r="1476" ht="15.75" customHeight="1">
      <c r="A1476" s="3"/>
      <c r="B1476" s="3"/>
      <c r="C1476" s="3"/>
      <c r="D1476" s="4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</row>
    <row r="1477" ht="15.75" customHeight="1">
      <c r="A1477" s="3"/>
      <c r="B1477" s="6"/>
      <c r="C1477" s="6"/>
      <c r="D1477" s="6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</row>
    <row r="1478" ht="15.75" customHeight="1">
      <c r="A1478" s="3"/>
      <c r="B1478" s="6"/>
      <c r="C1478" s="6"/>
      <c r="D1478" s="6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</row>
    <row r="1479" ht="15.75" customHeight="1">
      <c r="A1479" s="3"/>
      <c r="B1479" s="6"/>
      <c r="C1479" s="6"/>
      <c r="D1479" s="6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</row>
    <row r="1480" ht="15.75" customHeight="1">
      <c r="A1480" s="3"/>
      <c r="B1480" s="3"/>
      <c r="C1480" s="3"/>
      <c r="D1480" s="4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</row>
    <row r="1481" ht="15.75" customHeight="1">
      <c r="A1481" s="3"/>
      <c r="B1481" s="3"/>
      <c r="C1481" s="3"/>
      <c r="D1481" s="4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</row>
    <row r="1482" ht="15.75" customHeight="1">
      <c r="A1482" s="3"/>
      <c r="B1482" s="3"/>
      <c r="C1482" s="3"/>
      <c r="D1482" s="4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</row>
    <row r="1483" ht="15.75" customHeight="1">
      <c r="A1483" s="3"/>
      <c r="B1483" s="3"/>
      <c r="C1483" s="3"/>
      <c r="D1483" s="4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</row>
    <row r="1484" ht="15.75" customHeight="1">
      <c r="A1484" s="3"/>
      <c r="B1484" s="3"/>
      <c r="C1484" s="3"/>
      <c r="D1484" s="4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</row>
    <row r="1485" ht="15.75" customHeight="1">
      <c r="A1485" s="3"/>
      <c r="B1485" s="3"/>
      <c r="C1485" s="3"/>
      <c r="D1485" s="4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</row>
    <row r="1486" ht="15.75" customHeight="1">
      <c r="A1486" s="3"/>
      <c r="B1486" s="3"/>
      <c r="C1486" s="3"/>
      <c r="D1486" s="4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</row>
    <row r="1487" ht="15.75" customHeight="1">
      <c r="A1487" s="3"/>
      <c r="B1487" s="3"/>
      <c r="C1487" s="3"/>
      <c r="D1487" s="4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</row>
    <row r="1488" ht="15.75" customHeight="1">
      <c r="A1488" s="3"/>
      <c r="B1488" s="3"/>
      <c r="C1488" s="3"/>
      <c r="D1488" s="4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</row>
    <row r="1489" ht="15.75" customHeight="1">
      <c r="A1489" s="3"/>
      <c r="B1489" s="3"/>
      <c r="C1489" s="3"/>
      <c r="D1489" s="4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</row>
    <row r="1490" ht="15.75" customHeight="1">
      <c r="A1490" s="3"/>
      <c r="B1490" s="3"/>
      <c r="C1490" s="3"/>
      <c r="D1490" s="4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</row>
    <row r="1491" ht="15.75" customHeight="1">
      <c r="A1491" s="3"/>
      <c r="B1491" s="3"/>
      <c r="C1491" s="3"/>
      <c r="D1491" s="4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</row>
    <row r="1492" ht="15.75" customHeight="1">
      <c r="A1492" s="3"/>
      <c r="B1492" s="3"/>
      <c r="C1492" s="3"/>
      <c r="D1492" s="4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</row>
    <row r="1493" ht="15.75" customHeight="1">
      <c r="A1493" s="3"/>
      <c r="B1493" s="3"/>
      <c r="C1493" s="3"/>
      <c r="D1493" s="4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</row>
    <row r="1494" ht="15.75" customHeight="1">
      <c r="A1494" s="3"/>
      <c r="B1494" s="3"/>
      <c r="C1494" s="3"/>
      <c r="D1494" s="4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</row>
    <row r="1495" ht="15.75" customHeight="1">
      <c r="A1495" s="3"/>
      <c r="B1495" s="3"/>
      <c r="C1495" s="3"/>
      <c r="D1495" s="4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</row>
    <row r="1496" ht="15.75" customHeight="1">
      <c r="A1496" s="3"/>
      <c r="B1496" s="3"/>
      <c r="C1496" s="3"/>
      <c r="D1496" s="4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</row>
    <row r="1497" ht="15.75" customHeight="1">
      <c r="A1497" s="3"/>
      <c r="B1497" s="3"/>
      <c r="C1497" s="3"/>
      <c r="D1497" s="4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</row>
    <row r="1498" ht="15.75" customHeight="1">
      <c r="A1498" s="3"/>
      <c r="B1498" s="3"/>
      <c r="C1498" s="3"/>
      <c r="D1498" s="4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</row>
    <row r="1499" ht="15.75" customHeight="1">
      <c r="A1499" s="3"/>
      <c r="B1499" s="3"/>
      <c r="C1499" s="3"/>
      <c r="D1499" s="4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</row>
    <row r="1500" ht="15.75" customHeight="1">
      <c r="A1500" s="3"/>
      <c r="B1500" s="3"/>
      <c r="C1500" s="3"/>
      <c r="D1500" s="4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</row>
    <row r="1501" ht="15.75" customHeight="1">
      <c r="A1501" s="3"/>
      <c r="B1501" s="3"/>
      <c r="C1501" s="3"/>
      <c r="D1501" s="4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</row>
    <row r="1502" ht="15.75" customHeight="1">
      <c r="A1502" s="3"/>
      <c r="B1502" s="3"/>
      <c r="C1502" s="3"/>
      <c r="D1502" s="4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</row>
    <row r="1503" ht="15.75" customHeight="1">
      <c r="A1503" s="3"/>
      <c r="B1503" s="3"/>
      <c r="C1503" s="3"/>
      <c r="D1503" s="4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</row>
    <row r="1504" ht="15.75" customHeight="1">
      <c r="A1504" s="3"/>
      <c r="B1504" s="3"/>
      <c r="C1504" s="3"/>
      <c r="D1504" s="4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</row>
    <row r="1505" ht="15.75" customHeight="1">
      <c r="A1505" s="3"/>
      <c r="B1505" s="3"/>
      <c r="C1505" s="3"/>
      <c r="D1505" s="4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</row>
    <row r="1506" ht="15.75" customHeight="1">
      <c r="A1506" s="3"/>
      <c r="B1506" s="3"/>
      <c r="C1506" s="3"/>
      <c r="D1506" s="4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</row>
    <row r="1507" ht="15.75" customHeight="1">
      <c r="A1507" s="3"/>
      <c r="B1507" s="3"/>
      <c r="C1507" s="3"/>
      <c r="D1507" s="4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</row>
    <row r="1508" ht="15.75" customHeight="1">
      <c r="A1508" s="3"/>
      <c r="B1508" s="3"/>
      <c r="C1508" s="3"/>
      <c r="D1508" s="4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</row>
    <row r="1509" ht="15.75" customHeight="1">
      <c r="A1509" s="3"/>
      <c r="B1509" s="3"/>
      <c r="C1509" s="3"/>
      <c r="D1509" s="4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</row>
    <row r="1510" ht="15.75" customHeight="1">
      <c r="A1510" s="3"/>
      <c r="B1510" s="3"/>
      <c r="C1510" s="3"/>
      <c r="D1510" s="4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</row>
    <row r="1511" ht="15.75" customHeight="1">
      <c r="A1511" s="3"/>
      <c r="B1511" s="3"/>
      <c r="C1511" s="3"/>
      <c r="D1511" s="4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</row>
    <row r="1512" ht="15.75" customHeight="1">
      <c r="A1512" s="3"/>
      <c r="B1512" s="3"/>
      <c r="C1512" s="3"/>
      <c r="D1512" s="4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</row>
    <row r="1513" ht="15.75" customHeight="1">
      <c r="A1513" s="3"/>
      <c r="B1513" s="3"/>
      <c r="C1513" s="3"/>
      <c r="D1513" s="4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</row>
    <row r="1514" ht="15.75" customHeight="1">
      <c r="A1514" s="3"/>
      <c r="B1514" s="3"/>
      <c r="C1514" s="3"/>
      <c r="D1514" s="4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</row>
    <row r="1515" ht="15.75" customHeight="1">
      <c r="A1515" s="3"/>
      <c r="B1515" s="3"/>
      <c r="C1515" s="3"/>
      <c r="D1515" s="4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</row>
    <row r="1516" ht="15.75" customHeight="1">
      <c r="A1516" s="3"/>
      <c r="B1516" s="3"/>
      <c r="C1516" s="3"/>
      <c r="D1516" s="4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</row>
    <row r="1517" ht="15.75" customHeight="1">
      <c r="A1517" s="3"/>
      <c r="B1517" s="3"/>
      <c r="C1517" s="3"/>
      <c r="D1517" s="4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</row>
    <row r="1518" ht="15.75" customHeight="1">
      <c r="A1518" s="3"/>
      <c r="B1518" s="3"/>
      <c r="C1518" s="3"/>
      <c r="D1518" s="4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</row>
    <row r="1519" ht="15.75" customHeight="1">
      <c r="A1519" s="3"/>
      <c r="B1519" s="3"/>
      <c r="C1519" s="3"/>
      <c r="D1519" s="4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</row>
    <row r="1520" ht="15.75" customHeight="1">
      <c r="A1520" s="3"/>
      <c r="B1520" s="3"/>
      <c r="C1520" s="3"/>
      <c r="D1520" s="4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</row>
    <row r="1521" ht="15.75" customHeight="1">
      <c r="A1521" s="3"/>
      <c r="B1521" s="3"/>
      <c r="C1521" s="3"/>
      <c r="D1521" s="4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</row>
    <row r="1522" ht="15.75" customHeight="1">
      <c r="A1522" s="3"/>
      <c r="B1522" s="3"/>
      <c r="C1522" s="3"/>
      <c r="D1522" s="4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</row>
    <row r="1523" ht="15.75" customHeight="1">
      <c r="A1523" s="3"/>
      <c r="B1523" s="3"/>
      <c r="C1523" s="3"/>
      <c r="D1523" s="4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</row>
    <row r="1524" ht="15.75" customHeight="1">
      <c r="A1524" s="3"/>
      <c r="B1524" s="3"/>
      <c r="C1524" s="3"/>
      <c r="D1524" s="4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</row>
    <row r="1525" ht="15.75" customHeight="1">
      <c r="A1525" s="3"/>
      <c r="B1525" s="3"/>
      <c r="C1525" s="3"/>
      <c r="D1525" s="4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</row>
    <row r="1526" ht="15.75" customHeight="1">
      <c r="A1526" s="3"/>
      <c r="B1526" s="3"/>
      <c r="C1526" s="3"/>
      <c r="D1526" s="4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</row>
    <row r="1527" ht="15.75" customHeight="1">
      <c r="A1527" s="3"/>
      <c r="B1527" s="3"/>
      <c r="C1527" s="3"/>
      <c r="D1527" s="4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</row>
    <row r="1528" ht="15.75" customHeight="1">
      <c r="A1528" s="3"/>
      <c r="B1528" s="3"/>
      <c r="C1528" s="3"/>
      <c r="D1528" s="4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</row>
    <row r="1529" ht="15.75" customHeight="1">
      <c r="A1529" s="3"/>
      <c r="B1529" s="3"/>
      <c r="C1529" s="3"/>
      <c r="D1529" s="4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</row>
    <row r="1530" ht="15.75" customHeight="1">
      <c r="A1530" s="3"/>
      <c r="B1530" s="3"/>
      <c r="C1530" s="3"/>
      <c r="D1530" s="4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</row>
    <row r="1531" ht="15.75" customHeight="1">
      <c r="A1531" s="3"/>
      <c r="B1531" s="3"/>
      <c r="C1531" s="3"/>
      <c r="D1531" s="4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</row>
    <row r="1532" ht="15.75" customHeight="1">
      <c r="A1532" s="3"/>
      <c r="B1532" s="3"/>
      <c r="C1532" s="3"/>
      <c r="D1532" s="4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</row>
    <row r="1533" ht="15.75" customHeight="1">
      <c r="A1533" s="3"/>
      <c r="B1533" s="3"/>
      <c r="C1533" s="3"/>
      <c r="D1533" s="4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</row>
    <row r="1534" ht="15.75" customHeight="1">
      <c r="A1534" s="3"/>
      <c r="B1534" s="3"/>
      <c r="C1534" s="3"/>
      <c r="D1534" s="4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</row>
    <row r="1535" ht="15.75" customHeight="1">
      <c r="A1535" s="3"/>
      <c r="B1535" s="3"/>
      <c r="C1535" s="3"/>
      <c r="D1535" s="4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</row>
    <row r="1536" ht="15.75" customHeight="1">
      <c r="A1536" s="3"/>
      <c r="B1536" s="3"/>
      <c r="C1536" s="3"/>
      <c r="D1536" s="4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</row>
    <row r="1537" ht="15.75" customHeight="1">
      <c r="A1537" s="3"/>
      <c r="B1537" s="3"/>
      <c r="C1537" s="3"/>
      <c r="D1537" s="4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</row>
    <row r="1538" ht="15.75" customHeight="1">
      <c r="A1538" s="3"/>
      <c r="B1538" s="3"/>
      <c r="C1538" s="3"/>
      <c r="D1538" s="4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</row>
    <row r="1539" ht="15.75" customHeight="1">
      <c r="A1539" s="3"/>
      <c r="B1539" s="3"/>
      <c r="C1539" s="3"/>
      <c r="D1539" s="4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</row>
    <row r="1540" ht="15.75" customHeight="1">
      <c r="A1540" s="3"/>
      <c r="B1540" s="3"/>
      <c r="C1540" s="3"/>
      <c r="D1540" s="4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</row>
    <row r="1541" ht="15.75" customHeight="1">
      <c r="A1541" s="3"/>
      <c r="B1541" s="3"/>
      <c r="C1541" s="3"/>
      <c r="D1541" s="4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</row>
    <row r="1542" ht="15.75" customHeight="1">
      <c r="A1542" s="3"/>
      <c r="B1542" s="3"/>
      <c r="C1542" s="3"/>
      <c r="D1542" s="4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</row>
    <row r="1543" ht="15.75" customHeight="1">
      <c r="A1543" s="3"/>
      <c r="B1543" s="3"/>
      <c r="C1543" s="3"/>
      <c r="D1543" s="4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</row>
    <row r="1544" ht="15.75" customHeight="1">
      <c r="A1544" s="3"/>
      <c r="B1544" s="3"/>
      <c r="C1544" s="3"/>
      <c r="D1544" s="4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</row>
    <row r="1545" ht="15.75" customHeight="1">
      <c r="A1545" s="3"/>
      <c r="B1545" s="3"/>
      <c r="C1545" s="3"/>
      <c r="D1545" s="4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</row>
    <row r="1546" ht="15.75" customHeight="1">
      <c r="A1546" s="3"/>
      <c r="B1546" s="3"/>
      <c r="C1546" s="3"/>
      <c r="D1546" s="4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</row>
    <row r="1547" ht="15.75" customHeight="1">
      <c r="A1547" s="3"/>
      <c r="B1547" s="3"/>
      <c r="C1547" s="3"/>
      <c r="D1547" s="4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</row>
    <row r="1548" ht="15.75" customHeight="1">
      <c r="A1548" s="3"/>
      <c r="B1548" s="3"/>
      <c r="C1548" s="3"/>
      <c r="D1548" s="4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</row>
    <row r="1549" ht="15.75" customHeight="1">
      <c r="A1549" s="3"/>
      <c r="B1549" s="3"/>
      <c r="C1549" s="3"/>
      <c r="D1549" s="4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</row>
    <row r="1550" ht="15.75" customHeight="1">
      <c r="A1550" s="3"/>
      <c r="B1550" s="3"/>
      <c r="C1550" s="3"/>
      <c r="D1550" s="4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</row>
    <row r="1551" ht="15.75" customHeight="1">
      <c r="A1551" s="3"/>
      <c r="B1551" s="3"/>
      <c r="C1551" s="3"/>
      <c r="D1551" s="4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</row>
    <row r="1552" ht="15.75" customHeight="1">
      <c r="A1552" s="3"/>
      <c r="B1552" s="3"/>
      <c r="C1552" s="3"/>
      <c r="D1552" s="4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</row>
    <row r="1553" ht="15.75" customHeight="1">
      <c r="A1553" s="3"/>
      <c r="B1553" s="3"/>
      <c r="C1553" s="3"/>
      <c r="D1553" s="4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</row>
    <row r="1554" ht="15.75" customHeight="1">
      <c r="A1554" s="3"/>
      <c r="B1554" s="3"/>
      <c r="C1554" s="3"/>
      <c r="D1554" s="4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</row>
    <row r="1555" ht="15.75" customHeight="1">
      <c r="A1555" s="3"/>
      <c r="B1555" s="3"/>
      <c r="C1555" s="3"/>
      <c r="D1555" s="4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</row>
    <row r="1556" ht="15.75" customHeight="1">
      <c r="A1556" s="3"/>
      <c r="B1556" s="3"/>
      <c r="C1556" s="3"/>
      <c r="D1556" s="4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</row>
    <row r="1557" ht="15.75" customHeight="1">
      <c r="A1557" s="3"/>
      <c r="B1557" s="3"/>
      <c r="C1557" s="3"/>
      <c r="D1557" s="4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</row>
    <row r="1558" ht="15.75" customHeight="1">
      <c r="A1558" s="3"/>
      <c r="B1558" s="3"/>
      <c r="C1558" s="3"/>
      <c r="D1558" s="4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</row>
    <row r="1559" ht="15.75" customHeight="1">
      <c r="A1559" s="3"/>
      <c r="B1559" s="3"/>
      <c r="C1559" s="3"/>
      <c r="D1559" s="4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</row>
    <row r="1560" ht="15.75" customHeight="1">
      <c r="A1560" s="3"/>
      <c r="B1560" s="3"/>
      <c r="C1560" s="3"/>
      <c r="D1560" s="4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</row>
    <row r="1561" ht="15.75" customHeight="1">
      <c r="A1561" s="3"/>
      <c r="B1561" s="3"/>
      <c r="C1561" s="3"/>
      <c r="D1561" s="4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</row>
    <row r="1562" ht="15.75" customHeight="1">
      <c r="A1562" s="3"/>
      <c r="B1562" s="3"/>
      <c r="C1562" s="3"/>
      <c r="D1562" s="4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</row>
    <row r="1563" ht="15.75" customHeight="1">
      <c r="A1563" s="3"/>
      <c r="B1563" s="3"/>
      <c r="C1563" s="3"/>
      <c r="D1563" s="4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</row>
    <row r="1564" ht="15.75" customHeight="1">
      <c r="A1564" s="3"/>
      <c r="B1564" s="3"/>
      <c r="C1564" s="3"/>
      <c r="D1564" s="4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</row>
    <row r="1565" ht="15.75" customHeight="1">
      <c r="A1565" s="3"/>
      <c r="B1565" s="3"/>
      <c r="C1565" s="3"/>
      <c r="D1565" s="4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</row>
    <row r="1566" ht="15.75" customHeight="1">
      <c r="A1566" s="3"/>
      <c r="B1566" s="3"/>
      <c r="C1566" s="3"/>
      <c r="D1566" s="4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</row>
    <row r="1567" ht="15.75" customHeight="1">
      <c r="A1567" s="3"/>
      <c r="B1567" s="3"/>
      <c r="C1567" s="3"/>
      <c r="D1567" s="4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</row>
    <row r="1568" ht="15.75" customHeight="1">
      <c r="A1568" s="3"/>
      <c r="B1568" s="3"/>
      <c r="C1568" s="3"/>
      <c r="D1568" s="4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</row>
    <row r="1569" ht="15.75" customHeight="1">
      <c r="A1569" s="3"/>
      <c r="B1569" s="3"/>
      <c r="C1569" s="3"/>
      <c r="D1569" s="4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</row>
    <row r="1570" ht="15.75" customHeight="1">
      <c r="A1570" s="3"/>
      <c r="B1570" s="3"/>
      <c r="C1570" s="3"/>
      <c r="D1570" s="4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</row>
    <row r="1571" ht="15.75" customHeight="1">
      <c r="A1571" s="3"/>
      <c r="B1571" s="3"/>
      <c r="C1571" s="3"/>
      <c r="D1571" s="4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</row>
    <row r="1572" ht="15.75" customHeight="1">
      <c r="A1572" s="3"/>
      <c r="B1572" s="3"/>
      <c r="C1572" s="3"/>
      <c r="D1572" s="4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</row>
    <row r="1573" ht="15.75" customHeight="1">
      <c r="A1573" s="3"/>
      <c r="B1573" s="3"/>
      <c r="C1573" s="3"/>
      <c r="D1573" s="4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</row>
    <row r="1574" ht="15.75" customHeight="1">
      <c r="A1574" s="3"/>
      <c r="B1574" s="3"/>
      <c r="C1574" s="3"/>
      <c r="D1574" s="4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</row>
    <row r="1575" ht="15.75" customHeight="1">
      <c r="A1575" s="3"/>
      <c r="B1575" s="3"/>
      <c r="C1575" s="3"/>
      <c r="D1575" s="4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</row>
    <row r="1576" ht="15.75" customHeight="1">
      <c r="A1576" s="3"/>
      <c r="B1576" s="3"/>
      <c r="C1576" s="3"/>
      <c r="D1576" s="4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</row>
    <row r="1577" ht="15.75" customHeight="1">
      <c r="A1577" s="3"/>
      <c r="B1577" s="3"/>
      <c r="C1577" s="3"/>
      <c r="D1577" s="4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</row>
    <row r="1578" ht="15.75" customHeight="1">
      <c r="A1578" s="3"/>
      <c r="B1578" s="3"/>
      <c r="C1578" s="3"/>
      <c r="D1578" s="4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</row>
    <row r="1579" ht="15.75" customHeight="1">
      <c r="A1579" s="3"/>
      <c r="B1579" s="3"/>
      <c r="C1579" s="3"/>
      <c r="D1579" s="4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</row>
    <row r="1580" ht="15.75" customHeight="1">
      <c r="A1580" s="3"/>
      <c r="B1580" s="3"/>
      <c r="C1580" s="3"/>
      <c r="D1580" s="4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</row>
    <row r="1581" ht="15.75" customHeight="1">
      <c r="A1581" s="3"/>
      <c r="B1581" s="3"/>
      <c r="C1581" s="3"/>
      <c r="D1581" s="4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</row>
    <row r="1582" ht="15.75" customHeight="1">
      <c r="A1582" s="3"/>
      <c r="B1582" s="3"/>
      <c r="C1582" s="3"/>
      <c r="D1582" s="4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</row>
    <row r="1583" ht="15.75" customHeight="1">
      <c r="A1583" s="3"/>
      <c r="B1583" s="3"/>
      <c r="C1583" s="3"/>
      <c r="D1583" s="4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</row>
    <row r="1584" ht="15.75" customHeight="1">
      <c r="A1584" s="3"/>
      <c r="B1584" s="3"/>
      <c r="C1584" s="3"/>
      <c r="D1584" s="4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</row>
    <row r="1585" ht="15.75" customHeight="1">
      <c r="A1585" s="3"/>
      <c r="B1585" s="3"/>
      <c r="C1585" s="3"/>
      <c r="D1585" s="4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</row>
    <row r="1586" ht="15.75" customHeight="1">
      <c r="A1586" s="3"/>
      <c r="B1586" s="3"/>
      <c r="C1586" s="3"/>
      <c r="D1586" s="4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</row>
    <row r="1587" ht="15.75" customHeight="1">
      <c r="A1587" s="3"/>
      <c r="B1587" s="3"/>
      <c r="C1587" s="3"/>
      <c r="D1587" s="4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</row>
    <row r="1588" ht="15.75" customHeight="1">
      <c r="A1588" s="3"/>
      <c r="B1588" s="3"/>
      <c r="C1588" s="3"/>
      <c r="D1588" s="4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</row>
    <row r="1589" ht="15.75" customHeight="1">
      <c r="A1589" s="3"/>
      <c r="B1589" s="3"/>
      <c r="C1589" s="3"/>
      <c r="D1589" s="4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</row>
    <row r="1590" ht="15.75" customHeight="1">
      <c r="A1590" s="3"/>
      <c r="B1590" s="3"/>
      <c r="C1590" s="3"/>
      <c r="D1590" s="4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</row>
    <row r="1591" ht="15.75" customHeight="1">
      <c r="A1591" s="3"/>
      <c r="B1591" s="3"/>
      <c r="C1591" s="3"/>
      <c r="D1591" s="4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</row>
    <row r="1592" ht="15.75" customHeight="1">
      <c r="A1592" s="3"/>
      <c r="B1592" s="3"/>
      <c r="C1592" s="3"/>
      <c r="D1592" s="4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</row>
    <row r="1593" ht="15.75" customHeight="1">
      <c r="A1593" s="3"/>
      <c r="B1593" s="3"/>
      <c r="C1593" s="3"/>
      <c r="D1593" s="4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</row>
    <row r="1594" ht="15.75" customHeight="1">
      <c r="A1594" s="3"/>
      <c r="B1594" s="3"/>
      <c r="C1594" s="3"/>
      <c r="D1594" s="4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</row>
    <row r="1595" ht="15.75" customHeight="1">
      <c r="A1595" s="3"/>
      <c r="B1595" s="3"/>
      <c r="C1595" s="3"/>
      <c r="D1595" s="4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</row>
    <row r="1596" ht="15.75" customHeight="1">
      <c r="A1596" s="3"/>
      <c r="B1596" s="3"/>
      <c r="C1596" s="3"/>
      <c r="D1596" s="4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</row>
    <row r="1597" ht="15.75" customHeight="1">
      <c r="A1597" s="3"/>
      <c r="B1597" s="3"/>
      <c r="C1597" s="3"/>
      <c r="D1597" s="4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</row>
    <row r="1598" ht="15.75" customHeight="1">
      <c r="A1598" s="3"/>
      <c r="B1598" s="3"/>
      <c r="C1598" s="3"/>
      <c r="D1598" s="4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</row>
    <row r="1599" ht="15.75" customHeight="1">
      <c r="A1599" s="3"/>
      <c r="B1599" s="3"/>
      <c r="C1599" s="3"/>
      <c r="D1599" s="4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</row>
    <row r="1600" ht="15.75" customHeight="1">
      <c r="A1600" s="3"/>
      <c r="B1600" s="3"/>
      <c r="C1600" s="3"/>
      <c r="D1600" s="4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</row>
    <row r="1601" ht="15.75" customHeight="1">
      <c r="A1601" s="3"/>
      <c r="B1601" s="3"/>
      <c r="C1601" s="3"/>
      <c r="D1601" s="4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</row>
    <row r="1602" ht="15.75" customHeight="1">
      <c r="A1602" s="3"/>
      <c r="B1602" s="3"/>
      <c r="C1602" s="3"/>
      <c r="D1602" s="4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</row>
    <row r="1603" ht="15.75" customHeight="1">
      <c r="A1603" s="3"/>
      <c r="B1603" s="3"/>
      <c r="C1603" s="3"/>
      <c r="D1603" s="4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</row>
    <row r="1604" ht="15.75" customHeight="1">
      <c r="A1604" s="3"/>
      <c r="B1604" s="3"/>
      <c r="C1604" s="3"/>
      <c r="D1604" s="4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</row>
    <row r="1605" ht="15.75" customHeight="1">
      <c r="A1605" s="3"/>
      <c r="B1605" s="3"/>
      <c r="C1605" s="3"/>
      <c r="D1605" s="4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</row>
    <row r="1606" ht="15.75" customHeight="1">
      <c r="A1606" s="3"/>
      <c r="B1606" s="3"/>
      <c r="C1606" s="3"/>
      <c r="D1606" s="4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</row>
    <row r="1607" ht="15.75" customHeight="1">
      <c r="A1607" s="3"/>
      <c r="B1607" s="3"/>
      <c r="C1607" s="3"/>
      <c r="D1607" s="4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</row>
    <row r="1608" ht="15.75" customHeight="1">
      <c r="A1608" s="3"/>
      <c r="B1608" s="3"/>
      <c r="C1608" s="3"/>
      <c r="D1608" s="4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</row>
    <row r="1609" ht="15.75" customHeight="1">
      <c r="A1609" s="3"/>
      <c r="B1609" s="3"/>
      <c r="C1609" s="3"/>
      <c r="D1609" s="4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</row>
    <row r="1610" ht="15.75" customHeight="1">
      <c r="A1610" s="3"/>
      <c r="B1610" s="3"/>
      <c r="C1610" s="3"/>
      <c r="D1610" s="4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</row>
    <row r="1611" ht="15.75" customHeight="1">
      <c r="A1611" s="3"/>
      <c r="B1611" s="3"/>
      <c r="C1611" s="3"/>
      <c r="D1611" s="4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</row>
    <row r="1612" ht="15.75" customHeight="1">
      <c r="A1612" s="3"/>
      <c r="B1612" s="3"/>
      <c r="C1612" s="3"/>
      <c r="D1612" s="4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</row>
    <row r="1613" ht="15.75" customHeight="1">
      <c r="A1613" s="3"/>
      <c r="B1613" s="3"/>
      <c r="C1613" s="3"/>
      <c r="D1613" s="4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</row>
    <row r="1614" ht="15.75" customHeight="1">
      <c r="A1614" s="3"/>
      <c r="B1614" s="3"/>
      <c r="C1614" s="3"/>
      <c r="D1614" s="4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</row>
    <row r="1615" ht="15.75" customHeight="1">
      <c r="A1615" s="3"/>
      <c r="B1615" s="3"/>
      <c r="C1615" s="3"/>
      <c r="D1615" s="4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</row>
    <row r="1616" ht="15.75" customHeight="1">
      <c r="A1616" s="3"/>
      <c r="B1616" s="3"/>
      <c r="C1616" s="3"/>
      <c r="D1616" s="4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</row>
    <row r="1617" ht="15.75" customHeight="1">
      <c r="A1617" s="3"/>
      <c r="B1617" s="3"/>
      <c r="C1617" s="3"/>
      <c r="D1617" s="4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</row>
    <row r="1618" ht="15.75" customHeight="1">
      <c r="A1618" s="3"/>
      <c r="B1618" s="3"/>
      <c r="C1618" s="3"/>
      <c r="D1618" s="4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</row>
    <row r="1619" ht="15.75" customHeight="1">
      <c r="A1619" s="3"/>
      <c r="B1619" s="3"/>
      <c r="C1619" s="3"/>
      <c r="D1619" s="4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</row>
    <row r="1620" ht="15.75" customHeight="1">
      <c r="A1620" s="3"/>
      <c r="B1620" s="3"/>
      <c r="C1620" s="3"/>
      <c r="D1620" s="4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</row>
    <row r="1621" ht="15.75" customHeight="1">
      <c r="A1621" s="3"/>
      <c r="B1621" s="3"/>
      <c r="C1621" s="3"/>
      <c r="D1621" s="4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</row>
    <row r="1622" ht="15.75" customHeight="1">
      <c r="A1622" s="3"/>
      <c r="B1622" s="3"/>
      <c r="C1622" s="3"/>
      <c r="D1622" s="4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</row>
    <row r="1623" ht="15.75" customHeight="1">
      <c r="A1623" s="3"/>
      <c r="B1623" s="3"/>
      <c r="C1623" s="3"/>
      <c r="D1623" s="4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</row>
    <row r="1624" ht="15.75" customHeight="1">
      <c r="A1624" s="3"/>
      <c r="B1624" s="3"/>
      <c r="C1624" s="3"/>
      <c r="D1624" s="4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</row>
    <row r="1625" ht="15.75" customHeight="1">
      <c r="A1625" s="3"/>
      <c r="B1625" s="3"/>
      <c r="C1625" s="3"/>
      <c r="D1625" s="4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</row>
    <row r="1626" ht="15.75" customHeight="1">
      <c r="A1626" s="3"/>
      <c r="B1626" s="3"/>
      <c r="C1626" s="3"/>
      <c r="D1626" s="4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</row>
    <row r="1627" ht="15.75" customHeight="1">
      <c r="A1627" s="3"/>
      <c r="B1627" s="3"/>
      <c r="C1627" s="3"/>
      <c r="D1627" s="4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</row>
    <row r="1628" ht="15.75" customHeight="1">
      <c r="A1628" s="3"/>
      <c r="B1628" s="3"/>
      <c r="C1628" s="3"/>
      <c r="D1628" s="4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</row>
    <row r="1629" ht="15.75" customHeight="1">
      <c r="A1629" s="3"/>
      <c r="B1629" s="3"/>
      <c r="C1629" s="3"/>
      <c r="D1629" s="4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</row>
    <row r="1630" ht="15.75" customHeight="1">
      <c r="A1630" s="3"/>
      <c r="B1630" s="3"/>
      <c r="C1630" s="3"/>
      <c r="D1630" s="4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</row>
    <row r="1631" ht="15.75" customHeight="1">
      <c r="A1631" s="3"/>
      <c r="B1631" s="3"/>
      <c r="C1631" s="3"/>
      <c r="D1631" s="4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</row>
    <row r="1632" ht="15.75" customHeight="1">
      <c r="A1632" s="3"/>
      <c r="B1632" s="3"/>
      <c r="C1632" s="3"/>
      <c r="D1632" s="4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</row>
    <row r="1633" ht="15.75" customHeight="1">
      <c r="A1633" s="3"/>
      <c r="B1633" s="3"/>
      <c r="C1633" s="3"/>
      <c r="D1633" s="4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</row>
    <row r="1634" ht="15.75" customHeight="1">
      <c r="A1634" s="3"/>
      <c r="B1634" s="3"/>
      <c r="C1634" s="3"/>
      <c r="D1634" s="4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</row>
    <row r="1635" ht="15.75" customHeight="1">
      <c r="A1635" s="3"/>
      <c r="B1635" s="3"/>
      <c r="C1635" s="3"/>
      <c r="D1635" s="4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</row>
    <row r="1636" ht="15.75" customHeight="1">
      <c r="A1636" s="3"/>
      <c r="B1636" s="3"/>
      <c r="C1636" s="3"/>
      <c r="D1636" s="4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</row>
    <row r="1637" ht="15.75" customHeight="1">
      <c r="A1637" s="3"/>
      <c r="B1637" s="3"/>
      <c r="C1637" s="3"/>
      <c r="D1637" s="4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</row>
    <row r="1638" ht="15.75" customHeight="1">
      <c r="A1638" s="3"/>
      <c r="B1638" s="3"/>
      <c r="C1638" s="3"/>
      <c r="D1638" s="4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</row>
    <row r="1639" ht="15.75" customHeight="1">
      <c r="A1639" s="3"/>
      <c r="B1639" s="3"/>
      <c r="C1639" s="3"/>
      <c r="D1639" s="4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</row>
    <row r="1640" ht="15.75" customHeight="1">
      <c r="A1640" s="3"/>
      <c r="B1640" s="3"/>
      <c r="C1640" s="3"/>
      <c r="D1640" s="4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</row>
    <row r="1641" ht="15.75" customHeight="1">
      <c r="A1641" s="3"/>
      <c r="B1641" s="3"/>
      <c r="C1641" s="3"/>
      <c r="D1641" s="4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</row>
    <row r="1642" ht="15.75" customHeight="1">
      <c r="A1642" s="3"/>
      <c r="B1642" s="3"/>
      <c r="C1642" s="3"/>
      <c r="D1642" s="4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</row>
    <row r="1643" ht="15.75" customHeight="1">
      <c r="A1643" s="3"/>
      <c r="B1643" s="3"/>
      <c r="C1643" s="3"/>
      <c r="D1643" s="4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</row>
    <row r="1644" ht="15.75" customHeight="1">
      <c r="A1644" s="3"/>
      <c r="B1644" s="3"/>
      <c r="C1644" s="3"/>
      <c r="D1644" s="4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</row>
  </sheetData>
  <autoFilter ref="$A$1:$H$1444">
    <filterColumn colId="1">
      <filters>
        <filter val="Poland"/>
      </filters>
    </filterColumn>
  </autoFilter>
  <conditionalFormatting sqref="A2:A1444">
    <cfRule type="expression" dxfId="0" priority="1">
      <formula>Countifs(A2:A1674, A2, D2:D1674, D2)&gt;1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6.13"/>
    <col customWidth="1" min="3" max="6" width="12.63"/>
    <col customWidth="1" min="12" max="12" width="12.75"/>
  </cols>
  <sheetData>
    <row r="1" ht="15.75" customHeight="1"/>
    <row r="2" ht="15.75" customHeight="1">
      <c r="M2" s="8" t="s">
        <v>1</v>
      </c>
      <c r="N2" s="8" t="s">
        <v>7</v>
      </c>
    </row>
    <row r="3" ht="15.75" customHeight="1">
      <c r="F3" s="9"/>
      <c r="G3" s="9"/>
      <c r="H3" s="9"/>
      <c r="I3" s="9"/>
      <c r="J3" s="9"/>
      <c r="K3" s="9"/>
      <c r="M3" s="10" t="s">
        <v>9</v>
      </c>
      <c r="N3" s="10" t="s">
        <v>445</v>
      </c>
    </row>
    <row r="4" ht="15.75" customHeight="1">
      <c r="L4" s="11"/>
      <c r="M4" s="10" t="s">
        <v>330</v>
      </c>
      <c r="N4" s="10" t="s">
        <v>446</v>
      </c>
    </row>
    <row r="5" ht="15.75" customHeight="1">
      <c r="M5" s="10" t="s">
        <v>128</v>
      </c>
      <c r="N5" s="10" t="s">
        <v>447</v>
      </c>
    </row>
    <row r="6" ht="15.75" customHeight="1">
      <c r="M6" s="10" t="s">
        <v>244</v>
      </c>
      <c r="N6" s="10" t="s">
        <v>446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>
      <c r="D16" s="12"/>
      <c r="E16" s="12"/>
      <c r="F16" s="12"/>
      <c r="G16" s="12"/>
      <c r="H16" s="12"/>
      <c r="I16" s="12"/>
    </row>
    <row r="17" ht="15.75" customHeight="1">
      <c r="A17" s="12"/>
    </row>
    <row r="18" ht="15.75" customHeight="1">
      <c r="A18" s="12"/>
    </row>
    <row r="19" ht="15.75" customHeight="1">
      <c r="A19" s="12"/>
      <c r="J19" s="12"/>
      <c r="K19" s="12"/>
    </row>
    <row r="20" ht="15.75" customHeight="1">
      <c r="J20" s="12"/>
      <c r="K20" s="12"/>
    </row>
    <row r="21" ht="15.75" customHeight="1">
      <c r="J21" s="12"/>
      <c r="K21" s="12"/>
    </row>
    <row r="22" ht="15.75" customHeight="1">
      <c r="J22" s="12"/>
      <c r="K22" s="12"/>
    </row>
    <row r="23" ht="15.75" customHeight="1"/>
    <row r="24" ht="15.75" customHeight="1"/>
    <row r="25" ht="15.75" customHeight="1"/>
    <row r="26" ht="15.75" customHeight="1">
      <c r="A26" s="3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>
      <c r="A37" s="3"/>
    </row>
    <row r="38" ht="15.75" customHeight="1">
      <c r="A38" s="3"/>
    </row>
    <row r="39" ht="15.75" customHeight="1">
      <c r="A39" s="3"/>
    </row>
    <row r="40" ht="15.75" customHeight="1">
      <c r="A40" s="3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7:I17"/>
    <mergeCell ref="A18:I18"/>
    <mergeCell ref="A19:I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63"/>
    <col customWidth="1" min="2" max="8" width="23.38"/>
    <col customWidth="1" min="9" max="26" width="13.38"/>
  </cols>
  <sheetData>
    <row r="1" ht="15.75" customHeight="1">
      <c r="A1" s="13" t="str">
        <f>IFERROR(__xludf.DUMMYFUNCTION("QUERY(Data!A1:H1444, ""select A, C, D, E, E*G, H
where E &gt; 50
label E*G 'Overall gross bookings'"")"),"Trader ID")</f>
        <v>Trader ID</v>
      </c>
      <c r="B1" s="13" t="str">
        <f>IFERROR(__xludf.DUMMYFUNCTION("""COMPUTED_VALUE"""),"City")</f>
        <v>City</v>
      </c>
      <c r="C1" s="13" t="str">
        <f>IFERROR(__xludf.DUMMYFUNCTION("""COMPUTED_VALUE"""),"Reporting_week")</f>
        <v>Reporting_week</v>
      </c>
      <c r="D1" s="13" t="str">
        <f>IFERROR(__xludf.DUMMYFUNCTION("""COMPUTED_VALUE"""),"Successful transactions")</f>
        <v>Successful transactions</v>
      </c>
      <c r="E1" s="13" t="str">
        <f>IFERROR(__xludf.DUMMYFUNCTION("""COMPUTED_VALUE"""),"Overall gross bookings")</f>
        <v>Overall gross bookings</v>
      </c>
      <c r="F1" s="13" t="str">
        <f>IFERROR(__xludf.DUMMYFUNCTION("""COMPUTED_VALUE"""),"Currency")</f>
        <v>Currency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5.75" customHeight="1">
      <c r="A2" s="3" t="str">
        <f>IFERROR(__xludf.DUMMYFUNCTION("""COMPUTED_VALUE"""),"63dc8854-5507-4bbc-b2e0-73e312a05bef")</f>
        <v>63dc8854-5507-4bbc-b2e0-73e312a05bef</v>
      </c>
      <c r="B2" s="3" t="str">
        <f>IFERROR(__xludf.DUMMYFUNCTION("""COMPUTED_VALUE"""),"Warsaw")</f>
        <v>Warsaw</v>
      </c>
      <c r="C2" s="4">
        <f>IFERROR(__xludf.DUMMYFUNCTION("""COMPUTED_VALUE"""),45663.0)</f>
        <v>45663</v>
      </c>
      <c r="D2" s="3">
        <f>IFERROR(__xludf.DUMMYFUNCTION("""COMPUTED_VALUE"""),51.0)</f>
        <v>51</v>
      </c>
      <c r="E2" s="3">
        <f>IFERROR(__xludf.DUMMYFUNCTION("""COMPUTED_VALUE"""),189771.0)</f>
        <v>189771</v>
      </c>
      <c r="F2" s="3" t="str">
        <f>IFERROR(__xludf.DUMMYFUNCTION("""COMPUTED_VALUE"""),"PLN")</f>
        <v>PLN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tr">
        <f>IFERROR(__xludf.DUMMYFUNCTION("""COMPUTED_VALUE"""),"1308203b-4a46-4f50-b4d7-a762dfe62146")</f>
        <v>1308203b-4a46-4f50-b4d7-a762dfe62146</v>
      </c>
      <c r="B3" s="3" t="str">
        <f>IFERROR(__xludf.DUMMYFUNCTION("""COMPUTED_VALUE"""),"Wroclaw")</f>
        <v>Wroclaw</v>
      </c>
      <c r="C3" s="14">
        <f>IFERROR(__xludf.DUMMYFUNCTION("""COMPUTED_VALUE"""),45663.0)</f>
        <v>45663</v>
      </c>
      <c r="D3" s="3">
        <f>IFERROR(__xludf.DUMMYFUNCTION("""COMPUTED_VALUE"""),55.0)</f>
        <v>55</v>
      </c>
      <c r="E3" s="3">
        <f>IFERROR(__xludf.DUMMYFUNCTION("""COMPUTED_VALUE"""),185735.0)</f>
        <v>185735</v>
      </c>
      <c r="F3" s="3" t="str">
        <f>IFERROR(__xludf.DUMMYFUNCTION("""COMPUTED_VALUE"""),"PLN")</f>
        <v>PLN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tr">
        <f>IFERROR(__xludf.DUMMYFUNCTION("""COMPUTED_VALUE"""),"c2d1b451-32e8-458b-98f7-bbacb52cf739")</f>
        <v>c2d1b451-32e8-458b-98f7-bbacb52cf739</v>
      </c>
      <c r="B4" s="3" t="str">
        <f>IFERROR(__xludf.DUMMYFUNCTION("""COMPUTED_VALUE"""),"Lodz")</f>
        <v>Lodz</v>
      </c>
      <c r="C4" s="4">
        <f>IFERROR(__xludf.DUMMYFUNCTION("""COMPUTED_VALUE"""),45663.0)</f>
        <v>45663</v>
      </c>
      <c r="D4" s="3">
        <f>IFERROR(__xludf.DUMMYFUNCTION("""COMPUTED_VALUE"""),68.0)</f>
        <v>68</v>
      </c>
      <c r="E4" s="3">
        <f>IFERROR(__xludf.DUMMYFUNCTION("""COMPUTED_VALUE"""),281656.0)</f>
        <v>281656</v>
      </c>
      <c r="F4" s="3" t="str">
        <f>IFERROR(__xludf.DUMMYFUNCTION("""COMPUTED_VALUE"""),"PLN")</f>
        <v>PLN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tr">
        <f>IFERROR(__xludf.DUMMYFUNCTION("""COMPUTED_VALUE"""),"96f5ac8f-4723-47f4-8300-380ed21bc6e7")</f>
        <v>96f5ac8f-4723-47f4-8300-380ed21bc6e7</v>
      </c>
      <c r="B5" s="3" t="str">
        <f>IFERROR(__xludf.DUMMYFUNCTION("""COMPUTED_VALUE"""),"Poznan")</f>
        <v>Poznan</v>
      </c>
      <c r="C5" s="4">
        <f>IFERROR(__xludf.DUMMYFUNCTION("""COMPUTED_VALUE"""),45663.0)</f>
        <v>45663</v>
      </c>
      <c r="D5" s="3">
        <f>IFERROR(__xludf.DUMMYFUNCTION("""COMPUTED_VALUE"""),62.0)</f>
        <v>62</v>
      </c>
      <c r="E5" s="3">
        <f>IFERROR(__xludf.DUMMYFUNCTION("""COMPUTED_VALUE"""),277946.0)</f>
        <v>277946</v>
      </c>
      <c r="F5" s="3" t="str">
        <f>IFERROR(__xludf.DUMMYFUNCTION("""COMPUTED_VALUE"""),"PLN")</f>
        <v>PLN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tr">
        <f>IFERROR(__xludf.DUMMYFUNCTION("""COMPUTED_VALUE"""),"e45cfd06-5301-4af4-858d-54ca4de59f79")</f>
        <v>e45cfd06-5301-4af4-858d-54ca4de59f79</v>
      </c>
      <c r="B6" s="3" t="str">
        <f>IFERROR(__xludf.DUMMYFUNCTION("""COMPUTED_VALUE"""),"Gdansk")</f>
        <v>Gdansk</v>
      </c>
      <c r="C6" s="4">
        <f>IFERROR(__xludf.DUMMYFUNCTION("""COMPUTED_VALUE"""),45663.0)</f>
        <v>45663</v>
      </c>
      <c r="D6" s="3">
        <f>IFERROR(__xludf.DUMMYFUNCTION("""COMPUTED_VALUE"""),61.0)</f>
        <v>61</v>
      </c>
      <c r="E6" s="3">
        <f>IFERROR(__xludf.DUMMYFUNCTION("""COMPUTED_VALUE"""),240340.0)</f>
        <v>240340</v>
      </c>
      <c r="F6" s="3" t="str">
        <f>IFERROR(__xludf.DUMMYFUNCTION("""COMPUTED_VALUE"""),"PLN")</f>
        <v>PLN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tr">
        <f>IFERROR(__xludf.DUMMYFUNCTION("""COMPUTED_VALUE"""),"0a062c77-77f1-40bb-bf75-23b37aaa17ea")</f>
        <v>0a062c77-77f1-40bb-bf75-23b37aaa17ea</v>
      </c>
      <c r="B7" s="3" t="str">
        <f>IFERROR(__xludf.DUMMYFUNCTION("""COMPUTED_VALUE"""),"Gdansk")</f>
        <v>Gdansk</v>
      </c>
      <c r="C7" s="4">
        <f>IFERROR(__xludf.DUMMYFUNCTION("""COMPUTED_VALUE"""),45663.0)</f>
        <v>45663</v>
      </c>
      <c r="D7" s="3">
        <f>IFERROR(__xludf.DUMMYFUNCTION("""COMPUTED_VALUE"""),64.0)</f>
        <v>64</v>
      </c>
      <c r="E7" s="3">
        <f>IFERROR(__xludf.DUMMYFUNCTION("""COMPUTED_VALUE"""),254656.0)</f>
        <v>254656</v>
      </c>
      <c r="F7" s="3" t="str">
        <f>IFERROR(__xludf.DUMMYFUNCTION("""COMPUTED_VALUE"""),"PLN")</f>
        <v>PLN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tr">
        <f>IFERROR(__xludf.DUMMYFUNCTION("""COMPUTED_VALUE"""),"0249f184-5b67-469d-a05e-ab2f7f7af959")</f>
        <v>0249f184-5b67-469d-a05e-ab2f7f7af959</v>
      </c>
      <c r="B8" s="3" t="str">
        <f>IFERROR(__xludf.DUMMYFUNCTION("""COMPUTED_VALUE"""),"Krakow")</f>
        <v>Krakow</v>
      </c>
      <c r="C8" s="4">
        <f>IFERROR(__xludf.DUMMYFUNCTION("""COMPUTED_VALUE"""),45663.0)</f>
        <v>45663</v>
      </c>
      <c r="D8" s="3">
        <f>IFERROR(__xludf.DUMMYFUNCTION("""COMPUTED_VALUE"""),62.0)</f>
        <v>62</v>
      </c>
      <c r="E8" s="3">
        <f>IFERROR(__xludf.DUMMYFUNCTION("""COMPUTED_VALUE"""),272614.0)</f>
        <v>272614</v>
      </c>
      <c r="F8" s="3" t="str">
        <f>IFERROR(__xludf.DUMMYFUNCTION("""COMPUTED_VALUE"""),"PLN")</f>
        <v>PLN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tr">
        <f>IFERROR(__xludf.DUMMYFUNCTION("""COMPUTED_VALUE"""),"993236a1-4fa5-4249-9228-af02bedc5a3a")</f>
        <v>993236a1-4fa5-4249-9228-af02bedc5a3a</v>
      </c>
      <c r="B9" s="3" t="str">
        <f>IFERROR(__xludf.DUMMYFUNCTION("""COMPUTED_VALUE"""),"Poznan")</f>
        <v>Poznan</v>
      </c>
      <c r="C9" s="4">
        <f>IFERROR(__xludf.DUMMYFUNCTION("""COMPUTED_VALUE"""),45663.0)</f>
        <v>45663</v>
      </c>
      <c r="D9" s="3">
        <f>IFERROR(__xludf.DUMMYFUNCTION("""COMPUTED_VALUE"""),66.0)</f>
        <v>66</v>
      </c>
      <c r="E9" s="3">
        <f>IFERROR(__xludf.DUMMYFUNCTION("""COMPUTED_VALUE"""),258720.0)</f>
        <v>258720</v>
      </c>
      <c r="F9" s="3" t="str">
        <f>IFERROR(__xludf.DUMMYFUNCTION("""COMPUTED_VALUE"""),"PLN")</f>
        <v>PLN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tr">
        <f>IFERROR(__xludf.DUMMYFUNCTION("""COMPUTED_VALUE"""),"fa37b3f0-bbbe-4fe2-8e65-93529e065ddc")</f>
        <v>fa37b3f0-bbbe-4fe2-8e65-93529e065ddc</v>
      </c>
      <c r="B10" s="3" t="str">
        <f>IFERROR(__xludf.DUMMYFUNCTION("""COMPUTED_VALUE"""),"Warsaw")</f>
        <v>Warsaw</v>
      </c>
      <c r="C10" s="4">
        <f>IFERROR(__xludf.DUMMYFUNCTION("""COMPUTED_VALUE"""),45663.0)</f>
        <v>45663</v>
      </c>
      <c r="D10" s="3">
        <f>IFERROR(__xludf.DUMMYFUNCTION("""COMPUTED_VALUE"""),53.0)</f>
        <v>53</v>
      </c>
      <c r="E10" s="3">
        <f>IFERROR(__xludf.DUMMYFUNCTION("""COMPUTED_VALUE"""),205481.0)</f>
        <v>205481</v>
      </c>
      <c r="F10" s="3" t="str">
        <f>IFERROR(__xludf.DUMMYFUNCTION("""COMPUTED_VALUE"""),"PLN")</f>
        <v>PLN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tr">
        <f>IFERROR(__xludf.DUMMYFUNCTION("""COMPUTED_VALUE"""),"fb3a15c1-d3c3-4f4f-b8ed-2113bd9c4f68")</f>
        <v>fb3a15c1-d3c3-4f4f-b8ed-2113bd9c4f68</v>
      </c>
      <c r="B11" s="3" t="str">
        <f>IFERROR(__xludf.DUMMYFUNCTION("""COMPUTED_VALUE"""),"Warsaw")</f>
        <v>Warsaw</v>
      </c>
      <c r="C11" s="4">
        <f>IFERROR(__xludf.DUMMYFUNCTION("""COMPUTED_VALUE"""),45663.0)</f>
        <v>45663</v>
      </c>
      <c r="D11" s="3">
        <f>IFERROR(__xludf.DUMMYFUNCTION("""COMPUTED_VALUE"""),58.0)</f>
        <v>58</v>
      </c>
      <c r="E11" s="3">
        <f>IFERROR(__xludf.DUMMYFUNCTION("""COMPUTED_VALUE"""),195692.0)</f>
        <v>195692</v>
      </c>
      <c r="F11" s="3" t="str">
        <f>IFERROR(__xludf.DUMMYFUNCTION("""COMPUTED_VALUE"""),"PLN")</f>
        <v>PLN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tr">
        <f>IFERROR(__xludf.DUMMYFUNCTION("""COMPUTED_VALUE"""),"8366c09f-fd56-4a04-946e-3d1fad10d00a")</f>
        <v>8366c09f-fd56-4a04-946e-3d1fad10d00a</v>
      </c>
      <c r="B12" s="3" t="str">
        <f>IFERROR(__xludf.DUMMYFUNCTION("""COMPUTED_VALUE"""),"Lodz")</f>
        <v>Lodz</v>
      </c>
      <c r="C12" s="4">
        <f>IFERROR(__xludf.DUMMYFUNCTION("""COMPUTED_VALUE"""),45663.0)</f>
        <v>45663</v>
      </c>
      <c r="D12" s="3">
        <f>IFERROR(__xludf.DUMMYFUNCTION("""COMPUTED_VALUE"""),51.0)</f>
        <v>51</v>
      </c>
      <c r="E12" s="3">
        <f>IFERROR(__xludf.DUMMYFUNCTION("""COMPUTED_VALUE"""),197115.0)</f>
        <v>197115</v>
      </c>
      <c r="F12" s="3" t="str">
        <f>IFERROR(__xludf.DUMMYFUNCTION("""COMPUTED_VALUE"""),"PLN")</f>
        <v>PLN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tr">
        <f>IFERROR(__xludf.DUMMYFUNCTION("""COMPUTED_VALUE"""),"6a10af0e-e274-406a-ad5e-a931989b2e20")</f>
        <v>6a10af0e-e274-406a-ad5e-a931989b2e20</v>
      </c>
      <c r="B13" s="3" t="str">
        <f>IFERROR(__xludf.DUMMYFUNCTION("""COMPUTED_VALUE"""),"Warsaw")</f>
        <v>Warsaw</v>
      </c>
      <c r="C13" s="4">
        <f>IFERROR(__xludf.DUMMYFUNCTION("""COMPUTED_VALUE"""),45663.0)</f>
        <v>45663</v>
      </c>
      <c r="D13" s="3">
        <f>IFERROR(__xludf.DUMMYFUNCTION("""COMPUTED_VALUE"""),56.0)</f>
        <v>56</v>
      </c>
      <c r="E13" s="3">
        <f>IFERROR(__xludf.DUMMYFUNCTION("""COMPUTED_VALUE"""),191632.0)</f>
        <v>191632</v>
      </c>
      <c r="F13" s="3" t="str">
        <f>IFERROR(__xludf.DUMMYFUNCTION("""COMPUTED_VALUE"""),"PLN")</f>
        <v>PLN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tr">
        <f>IFERROR(__xludf.DUMMYFUNCTION("""COMPUTED_VALUE"""),"bf4c1c3b-77b0-4bc6-aff9-2062d5747e79")</f>
        <v>bf4c1c3b-77b0-4bc6-aff9-2062d5747e79</v>
      </c>
      <c r="B14" s="3" t="str">
        <f>IFERROR(__xludf.DUMMYFUNCTION("""COMPUTED_VALUE"""),"Krakow")</f>
        <v>Krakow</v>
      </c>
      <c r="C14" s="4">
        <f>IFERROR(__xludf.DUMMYFUNCTION("""COMPUTED_VALUE"""),45663.0)</f>
        <v>45663</v>
      </c>
      <c r="D14" s="3">
        <f>IFERROR(__xludf.DUMMYFUNCTION("""COMPUTED_VALUE"""),52.0)</f>
        <v>52</v>
      </c>
      <c r="E14" s="3">
        <f>IFERROR(__xludf.DUMMYFUNCTION("""COMPUTED_VALUE"""),193232.0)</f>
        <v>193232</v>
      </c>
      <c r="F14" s="3" t="str">
        <f>IFERROR(__xludf.DUMMYFUNCTION("""COMPUTED_VALUE"""),"PLN")</f>
        <v>PLN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 t="str">
        <f>IFERROR(__xludf.DUMMYFUNCTION("""COMPUTED_VALUE"""),"ecc16b34-df78-42ba-9a83-bf5ca441db00")</f>
        <v>ecc16b34-df78-42ba-9a83-bf5ca441db00</v>
      </c>
      <c r="B15" s="3" t="str">
        <f>IFERROR(__xludf.DUMMYFUNCTION("""COMPUTED_VALUE"""),"Lodz")</f>
        <v>Lodz</v>
      </c>
      <c r="C15" s="4">
        <f>IFERROR(__xludf.DUMMYFUNCTION("""COMPUTED_VALUE"""),45663.0)</f>
        <v>45663</v>
      </c>
      <c r="D15" s="3">
        <f>IFERROR(__xludf.DUMMYFUNCTION("""COMPUTED_VALUE"""),55.0)</f>
        <v>55</v>
      </c>
      <c r="E15" s="3">
        <f>IFERROR(__xludf.DUMMYFUNCTION("""COMPUTED_VALUE"""),195690.0)</f>
        <v>195690</v>
      </c>
      <c r="F15" s="3" t="str">
        <f>IFERROR(__xludf.DUMMYFUNCTION("""COMPUTED_VALUE"""),"PLN")</f>
        <v>PLN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 t="str">
        <f>IFERROR(__xludf.DUMMYFUNCTION("""COMPUTED_VALUE"""),"d894e29d-c9ec-43fc-94ce-f6b4d1b81294")</f>
        <v>d894e29d-c9ec-43fc-94ce-f6b4d1b81294</v>
      </c>
      <c r="B16" s="3" t="str">
        <f>IFERROR(__xludf.DUMMYFUNCTION("""COMPUTED_VALUE"""),"Wroclaw")</f>
        <v>Wroclaw</v>
      </c>
      <c r="C16" s="4">
        <f>IFERROR(__xludf.DUMMYFUNCTION("""COMPUTED_VALUE"""),45663.0)</f>
        <v>45663</v>
      </c>
      <c r="D16" s="3">
        <f>IFERROR(__xludf.DUMMYFUNCTION("""COMPUTED_VALUE"""),68.0)</f>
        <v>68</v>
      </c>
      <c r="E16" s="3">
        <f>IFERROR(__xludf.DUMMYFUNCTION("""COMPUTED_VALUE"""),276284.0)</f>
        <v>276284</v>
      </c>
      <c r="F16" s="3" t="str">
        <f>IFERROR(__xludf.DUMMYFUNCTION("""COMPUTED_VALUE"""),"PLN")</f>
        <v>PLN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 t="str">
        <f>IFERROR(__xludf.DUMMYFUNCTION("""COMPUTED_VALUE"""),"d781564c-61ae-4ed2-99d4-765e00b4801e")</f>
        <v>d781564c-61ae-4ed2-99d4-765e00b4801e</v>
      </c>
      <c r="B17" s="3" t="str">
        <f>IFERROR(__xludf.DUMMYFUNCTION("""COMPUTED_VALUE"""),"Krakow")</f>
        <v>Krakow</v>
      </c>
      <c r="C17" s="4">
        <f>IFERROR(__xludf.DUMMYFUNCTION("""COMPUTED_VALUE"""),45663.0)</f>
        <v>45663</v>
      </c>
      <c r="D17" s="3">
        <f>IFERROR(__xludf.DUMMYFUNCTION("""COMPUTED_VALUE"""),65.0)</f>
        <v>65</v>
      </c>
      <c r="E17" s="3">
        <f>IFERROR(__xludf.DUMMYFUNCTION("""COMPUTED_VALUE"""),270660.0)</f>
        <v>270660</v>
      </c>
      <c r="F17" s="3" t="str">
        <f>IFERROR(__xludf.DUMMYFUNCTION("""COMPUTED_VALUE"""),"PLN")</f>
        <v>PLN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 t="str">
        <f>IFERROR(__xludf.DUMMYFUNCTION("""COMPUTED_VALUE"""),"47e81ae8-19b8-4512-86e4-d96a17e44d38")</f>
        <v>47e81ae8-19b8-4512-86e4-d96a17e44d38</v>
      </c>
      <c r="B18" s="3" t="str">
        <f>IFERROR(__xludf.DUMMYFUNCTION("""COMPUTED_VALUE"""),"Gdansk")</f>
        <v>Gdansk</v>
      </c>
      <c r="C18" s="4">
        <f>IFERROR(__xludf.DUMMYFUNCTION("""COMPUTED_VALUE"""),45663.0)</f>
        <v>45663</v>
      </c>
      <c r="D18" s="3">
        <f>IFERROR(__xludf.DUMMYFUNCTION("""COMPUTED_VALUE"""),67.0)</f>
        <v>67</v>
      </c>
      <c r="E18" s="3">
        <f>IFERROR(__xludf.DUMMYFUNCTION("""COMPUTED_VALUE"""),283477.0)</f>
        <v>283477</v>
      </c>
      <c r="F18" s="3" t="str">
        <f>IFERROR(__xludf.DUMMYFUNCTION("""COMPUTED_VALUE"""),"PLN")</f>
        <v>PLN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tr">
        <f>IFERROR(__xludf.DUMMYFUNCTION("""COMPUTED_VALUE"""),"040b5c57-bbcd-491e-9168-21b2d807f924")</f>
        <v>040b5c57-bbcd-491e-9168-21b2d807f924</v>
      </c>
      <c r="B19" s="3" t="str">
        <f>IFERROR(__xludf.DUMMYFUNCTION("""COMPUTED_VALUE"""),"Lodz")</f>
        <v>Lodz</v>
      </c>
      <c r="C19" s="4">
        <f>IFERROR(__xludf.DUMMYFUNCTION("""COMPUTED_VALUE"""),45663.0)</f>
        <v>45663</v>
      </c>
      <c r="D19" s="3">
        <f>IFERROR(__xludf.DUMMYFUNCTION("""COMPUTED_VALUE"""),62.0)</f>
        <v>62</v>
      </c>
      <c r="E19" s="3">
        <f>IFERROR(__xludf.DUMMYFUNCTION("""COMPUTED_VALUE"""),246078.0)</f>
        <v>246078</v>
      </c>
      <c r="F19" s="3" t="str">
        <f>IFERROR(__xludf.DUMMYFUNCTION("""COMPUTED_VALUE"""),"PLN")</f>
        <v>PLN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tr">
        <f>IFERROR(__xludf.DUMMYFUNCTION("""COMPUTED_VALUE"""),"aa51a7a1-a778-4464-ba35-408ed0d06819")</f>
        <v>aa51a7a1-a778-4464-ba35-408ed0d06819</v>
      </c>
      <c r="B20" s="3" t="str">
        <f>IFERROR(__xludf.DUMMYFUNCTION("""COMPUTED_VALUE"""),"Warsaw")</f>
        <v>Warsaw</v>
      </c>
      <c r="C20" s="4">
        <f>IFERROR(__xludf.DUMMYFUNCTION("""COMPUTED_VALUE"""),45663.0)</f>
        <v>45663</v>
      </c>
      <c r="D20" s="3">
        <f>IFERROR(__xludf.DUMMYFUNCTION("""COMPUTED_VALUE"""),60.0)</f>
        <v>60</v>
      </c>
      <c r="E20" s="3">
        <f>IFERROR(__xludf.DUMMYFUNCTION("""COMPUTED_VALUE"""),217260.0)</f>
        <v>217260</v>
      </c>
      <c r="F20" s="3" t="str">
        <f>IFERROR(__xludf.DUMMYFUNCTION("""COMPUTED_VALUE"""),"PLN")</f>
        <v>PLN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tr">
        <f>IFERROR(__xludf.DUMMYFUNCTION("""COMPUTED_VALUE"""),"31b85576-c3ee-484b-978e-8e2cb84c955e")</f>
        <v>31b85576-c3ee-484b-978e-8e2cb84c955e</v>
      </c>
      <c r="B21" s="3" t="str">
        <f>IFERROR(__xludf.DUMMYFUNCTION("""COMPUTED_VALUE"""),"Poznan")</f>
        <v>Poznan</v>
      </c>
      <c r="C21" s="4">
        <f>IFERROR(__xludf.DUMMYFUNCTION("""COMPUTED_VALUE"""),45663.0)</f>
        <v>45663</v>
      </c>
      <c r="D21" s="3">
        <f>IFERROR(__xludf.DUMMYFUNCTION("""COMPUTED_VALUE"""),59.0)</f>
        <v>59</v>
      </c>
      <c r="E21" s="3">
        <f>IFERROR(__xludf.DUMMYFUNCTION("""COMPUTED_VALUE"""),220011.0)</f>
        <v>220011</v>
      </c>
      <c r="F21" s="3" t="str">
        <f>IFERROR(__xludf.DUMMYFUNCTION("""COMPUTED_VALUE"""),"PLN")</f>
        <v>PLN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tr">
        <f>IFERROR(__xludf.DUMMYFUNCTION("""COMPUTED_VALUE"""),"d1c277ca-161d-4581-9fc7-b3114d590712")</f>
        <v>d1c277ca-161d-4581-9fc7-b3114d590712</v>
      </c>
      <c r="B22" s="3" t="str">
        <f>IFERROR(__xludf.DUMMYFUNCTION("""COMPUTED_VALUE"""),"Warsaw")</f>
        <v>Warsaw</v>
      </c>
      <c r="C22" s="4">
        <f>IFERROR(__xludf.DUMMYFUNCTION("""COMPUTED_VALUE"""),45663.0)</f>
        <v>45663</v>
      </c>
      <c r="D22" s="3">
        <f>IFERROR(__xludf.DUMMYFUNCTION("""COMPUTED_VALUE"""),55.0)</f>
        <v>55</v>
      </c>
      <c r="E22" s="3">
        <f>IFERROR(__xludf.DUMMYFUNCTION("""COMPUTED_VALUE"""),186450.0)</f>
        <v>186450</v>
      </c>
      <c r="F22" s="3" t="str">
        <f>IFERROR(__xludf.DUMMYFUNCTION("""COMPUTED_VALUE"""),"PLN")</f>
        <v>PLN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tr">
        <f>IFERROR(__xludf.DUMMYFUNCTION("""COMPUTED_VALUE"""),"7a6aca2a-2fb8-4dc1-a6b2-4723b607bbb8")</f>
        <v>7a6aca2a-2fb8-4dc1-a6b2-4723b607bbb8</v>
      </c>
      <c r="B23" s="3" t="str">
        <f>IFERROR(__xludf.DUMMYFUNCTION("""COMPUTED_VALUE"""),"Wroclaw")</f>
        <v>Wroclaw</v>
      </c>
      <c r="C23" s="4">
        <f>IFERROR(__xludf.DUMMYFUNCTION("""COMPUTED_VALUE"""),45663.0)</f>
        <v>45663</v>
      </c>
      <c r="D23" s="3">
        <f>IFERROR(__xludf.DUMMYFUNCTION("""COMPUTED_VALUE"""),67.0)</f>
        <v>67</v>
      </c>
      <c r="E23" s="3">
        <f>IFERROR(__xludf.DUMMYFUNCTION("""COMPUTED_VALUE"""),290914.0)</f>
        <v>290914</v>
      </c>
      <c r="F23" s="3" t="str">
        <f>IFERROR(__xludf.DUMMYFUNCTION("""COMPUTED_VALUE"""),"PLN")</f>
        <v>PLN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tr">
        <f>IFERROR(__xludf.DUMMYFUNCTION("""COMPUTED_VALUE"""),"03568fa1-9357-405b-8fa9-cc136f9b5391")</f>
        <v>03568fa1-9357-405b-8fa9-cc136f9b5391</v>
      </c>
      <c r="B24" s="3" t="str">
        <f>IFERROR(__xludf.DUMMYFUNCTION("""COMPUTED_VALUE"""),"Warsaw")</f>
        <v>Warsaw</v>
      </c>
      <c r="C24" s="4">
        <f>IFERROR(__xludf.DUMMYFUNCTION("""COMPUTED_VALUE"""),45663.0)</f>
        <v>45663</v>
      </c>
      <c r="D24" s="3">
        <f>IFERROR(__xludf.DUMMYFUNCTION("""COMPUTED_VALUE"""),54.0)</f>
        <v>54</v>
      </c>
      <c r="E24" s="3">
        <f>IFERROR(__xludf.DUMMYFUNCTION("""COMPUTED_VALUE"""),199368.0)</f>
        <v>199368</v>
      </c>
      <c r="F24" s="3" t="str">
        <f>IFERROR(__xludf.DUMMYFUNCTION("""COMPUTED_VALUE"""),"PLN")</f>
        <v>PLN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tr">
        <f>IFERROR(__xludf.DUMMYFUNCTION("""COMPUTED_VALUE"""),"55542419-044e-4cd7-84e6-975780911173")</f>
        <v>55542419-044e-4cd7-84e6-975780911173</v>
      </c>
      <c r="B25" s="3" t="str">
        <f>IFERROR(__xludf.DUMMYFUNCTION("""COMPUTED_VALUE"""),"Wroclaw")</f>
        <v>Wroclaw</v>
      </c>
      <c r="C25" s="4">
        <f>IFERROR(__xludf.DUMMYFUNCTION("""COMPUTED_VALUE"""),45663.0)</f>
        <v>45663</v>
      </c>
      <c r="D25" s="3">
        <f>IFERROR(__xludf.DUMMYFUNCTION("""COMPUTED_VALUE"""),55.0)</f>
        <v>55</v>
      </c>
      <c r="E25" s="3">
        <f>IFERROR(__xludf.DUMMYFUNCTION("""COMPUTED_VALUE"""),166925.0)</f>
        <v>166925</v>
      </c>
      <c r="F25" s="3" t="str">
        <f>IFERROR(__xludf.DUMMYFUNCTION("""COMPUTED_VALUE"""),"PLN")</f>
        <v>PLN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tr">
        <f>IFERROR(__xludf.DUMMYFUNCTION("""COMPUTED_VALUE"""),"14768b32-9c82-4e5c-b220-443f5b19e3e3")</f>
        <v>14768b32-9c82-4e5c-b220-443f5b19e3e3</v>
      </c>
      <c r="B26" s="3" t="str">
        <f>IFERROR(__xludf.DUMMYFUNCTION("""COMPUTED_VALUE"""),"Gdansk")</f>
        <v>Gdansk</v>
      </c>
      <c r="C26" s="4">
        <f>IFERROR(__xludf.DUMMYFUNCTION("""COMPUTED_VALUE"""),45663.0)</f>
        <v>45663</v>
      </c>
      <c r="D26" s="3">
        <f>IFERROR(__xludf.DUMMYFUNCTION("""COMPUTED_VALUE"""),56.0)</f>
        <v>56</v>
      </c>
      <c r="E26" s="3">
        <f>IFERROR(__xludf.DUMMYFUNCTION("""COMPUTED_VALUE"""),215208.0)</f>
        <v>215208</v>
      </c>
      <c r="F26" s="3" t="str">
        <f>IFERROR(__xludf.DUMMYFUNCTION("""COMPUTED_VALUE"""),"PLN")</f>
        <v>PLN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tr">
        <f>IFERROR(__xludf.DUMMYFUNCTION("""COMPUTED_VALUE"""),"caa3110f-e624-4f30-88e9-6f88f1b71129")</f>
        <v>caa3110f-e624-4f30-88e9-6f88f1b71129</v>
      </c>
      <c r="B27" s="3" t="str">
        <f>IFERROR(__xludf.DUMMYFUNCTION("""COMPUTED_VALUE"""),"Warsaw")</f>
        <v>Warsaw</v>
      </c>
      <c r="C27" s="4">
        <f>IFERROR(__xludf.DUMMYFUNCTION("""COMPUTED_VALUE"""),45663.0)</f>
        <v>45663</v>
      </c>
      <c r="D27" s="3">
        <f>IFERROR(__xludf.DUMMYFUNCTION("""COMPUTED_VALUE"""),61.0)</f>
        <v>61</v>
      </c>
      <c r="E27" s="3">
        <f>IFERROR(__xludf.DUMMYFUNCTION("""COMPUTED_VALUE"""),269498.0)</f>
        <v>269498</v>
      </c>
      <c r="F27" s="3" t="str">
        <f>IFERROR(__xludf.DUMMYFUNCTION("""COMPUTED_VALUE"""),"PLN")</f>
        <v>PLN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tr">
        <f>IFERROR(__xludf.DUMMYFUNCTION("""COMPUTED_VALUE"""),"0efa2ab0-07dd-4cc1-a6ff-6cd205147227")</f>
        <v>0efa2ab0-07dd-4cc1-a6ff-6cd205147227</v>
      </c>
      <c r="B28" s="3" t="str">
        <f>IFERROR(__xludf.DUMMYFUNCTION("""COMPUTED_VALUE"""),"Poznan")</f>
        <v>Poznan</v>
      </c>
      <c r="C28" s="4">
        <f>IFERROR(__xludf.DUMMYFUNCTION("""COMPUTED_VALUE"""),45663.0)</f>
        <v>45663</v>
      </c>
      <c r="D28" s="3">
        <f>IFERROR(__xludf.DUMMYFUNCTION("""COMPUTED_VALUE"""),67.0)</f>
        <v>67</v>
      </c>
      <c r="E28" s="3">
        <f>IFERROR(__xludf.DUMMYFUNCTION("""COMPUTED_VALUE"""),273695.0)</f>
        <v>273695</v>
      </c>
      <c r="F28" s="3" t="str">
        <f>IFERROR(__xludf.DUMMYFUNCTION("""COMPUTED_VALUE"""),"PLN")</f>
        <v>PLN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tr">
        <f>IFERROR(__xludf.DUMMYFUNCTION("""COMPUTED_VALUE"""),"b757ff69-cc47-429e-a214-c270396205bf")</f>
        <v>b757ff69-cc47-429e-a214-c270396205bf</v>
      </c>
      <c r="B29" s="3" t="str">
        <f>IFERROR(__xludf.DUMMYFUNCTION("""COMPUTED_VALUE"""),"Poznan")</f>
        <v>Poznan</v>
      </c>
      <c r="C29" s="4">
        <f>IFERROR(__xludf.DUMMYFUNCTION("""COMPUTED_VALUE"""),45663.0)</f>
        <v>45663</v>
      </c>
      <c r="D29" s="3">
        <f>IFERROR(__xludf.DUMMYFUNCTION("""COMPUTED_VALUE"""),56.0)</f>
        <v>56</v>
      </c>
      <c r="E29" s="3">
        <f>IFERROR(__xludf.DUMMYFUNCTION("""COMPUTED_VALUE"""),181944.0)</f>
        <v>181944</v>
      </c>
      <c r="F29" s="3" t="str">
        <f>IFERROR(__xludf.DUMMYFUNCTION("""COMPUTED_VALUE"""),"PLN")</f>
        <v>PLN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tr">
        <f>IFERROR(__xludf.DUMMYFUNCTION("""COMPUTED_VALUE"""),"f295b181-360f-4d85-b6ae-d32ea9493b80")</f>
        <v>f295b181-360f-4d85-b6ae-d32ea9493b80</v>
      </c>
      <c r="B30" s="3" t="str">
        <f>IFERROR(__xludf.DUMMYFUNCTION("""COMPUTED_VALUE"""),"Warsaw")</f>
        <v>Warsaw</v>
      </c>
      <c r="C30" s="4">
        <f>IFERROR(__xludf.DUMMYFUNCTION("""COMPUTED_VALUE"""),45663.0)</f>
        <v>45663</v>
      </c>
      <c r="D30" s="3">
        <f>IFERROR(__xludf.DUMMYFUNCTION("""COMPUTED_VALUE"""),61.0)</f>
        <v>61</v>
      </c>
      <c r="E30" s="3">
        <f>IFERROR(__xludf.DUMMYFUNCTION("""COMPUTED_VALUE"""),263764.0)</f>
        <v>263764</v>
      </c>
      <c r="F30" s="3" t="str">
        <f>IFERROR(__xludf.DUMMYFUNCTION("""COMPUTED_VALUE"""),"PLN")</f>
        <v>PLN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tr">
        <f>IFERROR(__xludf.DUMMYFUNCTION("""COMPUTED_VALUE"""),"9acdc63d-7516-45b9-b49c-032c92cca905")</f>
        <v>9acdc63d-7516-45b9-b49c-032c92cca905</v>
      </c>
      <c r="B31" s="3" t="str">
        <f>IFERROR(__xludf.DUMMYFUNCTION("""COMPUTED_VALUE"""),"Poznan")</f>
        <v>Poznan</v>
      </c>
      <c r="C31" s="4">
        <f>IFERROR(__xludf.DUMMYFUNCTION("""COMPUTED_VALUE"""),45663.0)</f>
        <v>45663</v>
      </c>
      <c r="D31" s="3">
        <f>IFERROR(__xludf.DUMMYFUNCTION("""COMPUTED_VALUE"""),68.0)</f>
        <v>68</v>
      </c>
      <c r="E31" s="3">
        <f>IFERROR(__xludf.DUMMYFUNCTION("""COMPUTED_VALUE"""),268804.0)</f>
        <v>268804</v>
      </c>
      <c r="F31" s="3" t="str">
        <f>IFERROR(__xludf.DUMMYFUNCTION("""COMPUTED_VALUE"""),"PLN")</f>
        <v>PLN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tr">
        <f>IFERROR(__xludf.DUMMYFUNCTION("""COMPUTED_VALUE"""),"4eeddb18-7bab-484c-94e3-c265e0ab4fd8")</f>
        <v>4eeddb18-7bab-484c-94e3-c265e0ab4fd8</v>
      </c>
      <c r="B32" s="3" t="str">
        <f>IFERROR(__xludf.DUMMYFUNCTION("""COMPUTED_VALUE"""),"Krakow")</f>
        <v>Krakow</v>
      </c>
      <c r="C32" s="4">
        <f>IFERROR(__xludf.DUMMYFUNCTION("""COMPUTED_VALUE"""),45663.0)</f>
        <v>45663</v>
      </c>
      <c r="D32" s="3">
        <f>IFERROR(__xludf.DUMMYFUNCTION("""COMPUTED_VALUE"""),57.0)</f>
        <v>57</v>
      </c>
      <c r="E32" s="3">
        <f>IFERROR(__xludf.DUMMYFUNCTION("""COMPUTED_VALUE"""),212211.0)</f>
        <v>212211</v>
      </c>
      <c r="F32" s="3" t="str">
        <f>IFERROR(__xludf.DUMMYFUNCTION("""COMPUTED_VALUE"""),"PLN")</f>
        <v>PLN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tr">
        <f>IFERROR(__xludf.DUMMYFUNCTION("""COMPUTED_VALUE"""),"67e81f84-545f-4bfb-ab8e-07ae6aea19a9")</f>
        <v>67e81f84-545f-4bfb-ab8e-07ae6aea19a9</v>
      </c>
      <c r="B33" s="3" t="str">
        <f>IFERROR(__xludf.DUMMYFUNCTION("""COMPUTED_VALUE"""),"Krakow")</f>
        <v>Krakow</v>
      </c>
      <c r="C33" s="4">
        <f>IFERROR(__xludf.DUMMYFUNCTION("""COMPUTED_VALUE"""),45663.0)</f>
        <v>45663</v>
      </c>
      <c r="D33" s="3">
        <f>IFERROR(__xludf.DUMMYFUNCTION("""COMPUTED_VALUE"""),69.0)</f>
        <v>69</v>
      </c>
      <c r="E33" s="3">
        <f>IFERROR(__xludf.DUMMYFUNCTION("""COMPUTED_VALUE"""),310431.0)</f>
        <v>310431</v>
      </c>
      <c r="F33" s="3" t="str">
        <f>IFERROR(__xludf.DUMMYFUNCTION("""COMPUTED_VALUE"""),"PLN")</f>
        <v>PLN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tr">
        <f>IFERROR(__xludf.DUMMYFUNCTION("""COMPUTED_VALUE"""),"f12cb33a-d952-4c35-9f50-797eba8f7156")</f>
        <v>f12cb33a-d952-4c35-9f50-797eba8f7156</v>
      </c>
      <c r="B34" s="3" t="str">
        <f>IFERROR(__xludf.DUMMYFUNCTION("""COMPUTED_VALUE"""),"Gdansk")</f>
        <v>Gdansk</v>
      </c>
      <c r="C34" s="4">
        <f>IFERROR(__xludf.DUMMYFUNCTION("""COMPUTED_VALUE"""),45663.0)</f>
        <v>45663</v>
      </c>
      <c r="D34" s="3">
        <f>IFERROR(__xludf.DUMMYFUNCTION("""COMPUTED_VALUE"""),59.0)</f>
        <v>59</v>
      </c>
      <c r="E34" s="3">
        <f>IFERROR(__xludf.DUMMYFUNCTION("""COMPUTED_VALUE"""),186499.0)</f>
        <v>186499</v>
      </c>
      <c r="F34" s="3" t="str">
        <f>IFERROR(__xludf.DUMMYFUNCTION("""COMPUTED_VALUE"""),"PLN")</f>
        <v>PLN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tr">
        <f>IFERROR(__xludf.DUMMYFUNCTION("""COMPUTED_VALUE"""),"6918fb7f-1c4d-4525-a24a-bc5c952a330e")</f>
        <v>6918fb7f-1c4d-4525-a24a-bc5c952a330e</v>
      </c>
      <c r="B35" s="3" t="str">
        <f>IFERROR(__xludf.DUMMYFUNCTION("""COMPUTED_VALUE"""),"Lodz")</f>
        <v>Lodz</v>
      </c>
      <c r="C35" s="4">
        <f>IFERROR(__xludf.DUMMYFUNCTION("""COMPUTED_VALUE"""),45663.0)</f>
        <v>45663</v>
      </c>
      <c r="D35" s="3">
        <f>IFERROR(__xludf.DUMMYFUNCTION("""COMPUTED_VALUE"""),60.0)</f>
        <v>60</v>
      </c>
      <c r="E35" s="3">
        <f>IFERROR(__xludf.DUMMYFUNCTION("""COMPUTED_VALUE"""),222240.0)</f>
        <v>222240</v>
      </c>
      <c r="F35" s="3" t="str">
        <f>IFERROR(__xludf.DUMMYFUNCTION("""COMPUTED_VALUE"""),"PLN")</f>
        <v>PLN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tr">
        <f>IFERROR(__xludf.DUMMYFUNCTION("""COMPUTED_VALUE"""),"39f3a680-56e7-4b2b-a706-94319a1da61e")</f>
        <v>39f3a680-56e7-4b2b-a706-94319a1da61e</v>
      </c>
      <c r="B36" s="3" t="str">
        <f>IFERROR(__xludf.DUMMYFUNCTION("""COMPUTED_VALUE"""),"Warsaw")</f>
        <v>Warsaw</v>
      </c>
      <c r="C36" s="4">
        <f>IFERROR(__xludf.DUMMYFUNCTION("""COMPUTED_VALUE"""),45670.0)</f>
        <v>45670</v>
      </c>
      <c r="D36" s="3">
        <f>IFERROR(__xludf.DUMMYFUNCTION("""COMPUTED_VALUE"""),52.0)</f>
        <v>52</v>
      </c>
      <c r="E36" s="3">
        <f>IFERROR(__xludf.DUMMYFUNCTION("""COMPUTED_VALUE"""),172016.0)</f>
        <v>172016</v>
      </c>
      <c r="F36" s="3" t="str">
        <f>IFERROR(__xludf.DUMMYFUNCTION("""COMPUTED_VALUE"""),"PLN")</f>
        <v>PLN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tr">
        <f>IFERROR(__xludf.DUMMYFUNCTION("""COMPUTED_VALUE"""),"13ba2434-3f15-4a6c-8fb2-971d4edbc878")</f>
        <v>13ba2434-3f15-4a6c-8fb2-971d4edbc878</v>
      </c>
      <c r="B37" s="3" t="str">
        <f>IFERROR(__xludf.DUMMYFUNCTION("""COMPUTED_VALUE"""),"Gdansk")</f>
        <v>Gdansk</v>
      </c>
      <c r="C37" s="4">
        <f>IFERROR(__xludf.DUMMYFUNCTION("""COMPUTED_VALUE"""),45670.0)</f>
        <v>45670</v>
      </c>
      <c r="D37" s="3">
        <f>IFERROR(__xludf.DUMMYFUNCTION("""COMPUTED_VALUE"""),63.0)</f>
        <v>63</v>
      </c>
      <c r="E37" s="3">
        <f>IFERROR(__xludf.DUMMYFUNCTION("""COMPUTED_VALUE"""),255906.0)</f>
        <v>255906</v>
      </c>
      <c r="F37" s="3" t="str">
        <f>IFERROR(__xludf.DUMMYFUNCTION("""COMPUTED_VALUE"""),"PLN")</f>
        <v>PLN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tr">
        <f>IFERROR(__xludf.DUMMYFUNCTION("""COMPUTED_VALUE"""),"63dc8854-5507-4bbc-b2e0-73e312a05bef")</f>
        <v>63dc8854-5507-4bbc-b2e0-73e312a05bef</v>
      </c>
      <c r="B38" s="3" t="str">
        <f>IFERROR(__xludf.DUMMYFUNCTION("""COMPUTED_VALUE"""),"Warsaw")</f>
        <v>Warsaw</v>
      </c>
      <c r="C38" s="4">
        <f>IFERROR(__xludf.DUMMYFUNCTION("""COMPUTED_VALUE"""),45670.0)</f>
        <v>45670</v>
      </c>
      <c r="D38" s="3">
        <f>IFERROR(__xludf.DUMMYFUNCTION("""COMPUTED_VALUE"""),59.0)</f>
        <v>59</v>
      </c>
      <c r="E38" s="3">
        <f>IFERROR(__xludf.DUMMYFUNCTION("""COMPUTED_VALUE"""),182428.0)</f>
        <v>182428</v>
      </c>
      <c r="F38" s="3" t="str">
        <f>IFERROR(__xludf.DUMMYFUNCTION("""COMPUTED_VALUE"""),"PLN")</f>
        <v>PLN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tr">
        <f>IFERROR(__xludf.DUMMYFUNCTION("""COMPUTED_VALUE"""),"f66db0dd-6f7d-4438-a70f-3a452f276824")</f>
        <v>f66db0dd-6f7d-4438-a70f-3a452f276824</v>
      </c>
      <c r="B39" s="3" t="str">
        <f>IFERROR(__xludf.DUMMYFUNCTION("""COMPUTED_VALUE"""),"Warsaw")</f>
        <v>Warsaw</v>
      </c>
      <c r="C39" s="4">
        <f>IFERROR(__xludf.DUMMYFUNCTION("""COMPUTED_VALUE"""),45670.0)</f>
        <v>45670</v>
      </c>
      <c r="D39" s="3">
        <f>IFERROR(__xludf.DUMMYFUNCTION("""COMPUTED_VALUE"""),58.0)</f>
        <v>58</v>
      </c>
      <c r="E39" s="3">
        <f>IFERROR(__xludf.DUMMYFUNCTION("""COMPUTED_VALUE"""),198824.0)</f>
        <v>198824</v>
      </c>
      <c r="F39" s="3" t="str">
        <f>IFERROR(__xludf.DUMMYFUNCTION("""COMPUTED_VALUE"""),"PLN")</f>
        <v>PLN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tr">
        <f>IFERROR(__xludf.DUMMYFUNCTION("""COMPUTED_VALUE"""),"482ef93a-3192-48da-b5a7-fdec50c860b6")</f>
        <v>482ef93a-3192-48da-b5a7-fdec50c860b6</v>
      </c>
      <c r="B40" s="3" t="str">
        <f>IFERROR(__xludf.DUMMYFUNCTION("""COMPUTED_VALUE"""),"Poznan")</f>
        <v>Poznan</v>
      </c>
      <c r="C40" s="4">
        <f>IFERROR(__xludf.DUMMYFUNCTION("""COMPUTED_VALUE"""),45670.0)</f>
        <v>45670</v>
      </c>
      <c r="D40" s="3">
        <f>IFERROR(__xludf.DUMMYFUNCTION("""COMPUTED_VALUE"""),64.0)</f>
        <v>64</v>
      </c>
      <c r="E40" s="3">
        <f>IFERROR(__xludf.DUMMYFUNCTION("""COMPUTED_VALUE"""),283648.0)</f>
        <v>283648</v>
      </c>
      <c r="F40" s="3" t="str">
        <f>IFERROR(__xludf.DUMMYFUNCTION("""COMPUTED_VALUE"""),"PLN")</f>
        <v>PLN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tr">
        <f>IFERROR(__xludf.DUMMYFUNCTION("""COMPUTED_VALUE"""),"7ad59c70-12a2-4818-bee1-514b83dd37bb")</f>
        <v>7ad59c70-12a2-4818-bee1-514b83dd37bb</v>
      </c>
      <c r="B41" s="3" t="str">
        <f>IFERROR(__xludf.DUMMYFUNCTION("""COMPUTED_VALUE"""),"Gdansk")</f>
        <v>Gdansk</v>
      </c>
      <c r="C41" s="4">
        <f>IFERROR(__xludf.DUMMYFUNCTION("""COMPUTED_VALUE"""),45670.0)</f>
        <v>45670</v>
      </c>
      <c r="D41" s="3">
        <f>IFERROR(__xludf.DUMMYFUNCTION("""COMPUTED_VALUE"""),63.0)</f>
        <v>63</v>
      </c>
      <c r="E41" s="3">
        <f>IFERROR(__xludf.DUMMYFUNCTION("""COMPUTED_VALUE"""),266175.0)</f>
        <v>266175</v>
      </c>
      <c r="F41" s="3" t="str">
        <f>IFERROR(__xludf.DUMMYFUNCTION("""COMPUTED_VALUE"""),"PLN")</f>
        <v>PLN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tr">
        <f>IFERROR(__xludf.DUMMYFUNCTION("""COMPUTED_VALUE"""),"4a2a53f5-f0f4-40d2-aec5-56c24c63760d")</f>
        <v>4a2a53f5-f0f4-40d2-aec5-56c24c63760d</v>
      </c>
      <c r="B42" s="3" t="str">
        <f>IFERROR(__xludf.DUMMYFUNCTION("""COMPUTED_VALUE"""),"Warsaw")</f>
        <v>Warsaw</v>
      </c>
      <c r="C42" s="4">
        <f>IFERROR(__xludf.DUMMYFUNCTION("""COMPUTED_VALUE"""),45670.0)</f>
        <v>45670</v>
      </c>
      <c r="D42" s="3">
        <f>IFERROR(__xludf.DUMMYFUNCTION("""COMPUTED_VALUE"""),51.0)</f>
        <v>51</v>
      </c>
      <c r="E42" s="3">
        <f>IFERROR(__xludf.DUMMYFUNCTION("""COMPUTED_VALUE"""),178704.0)</f>
        <v>178704</v>
      </c>
      <c r="F42" s="3" t="str">
        <f>IFERROR(__xludf.DUMMYFUNCTION("""COMPUTED_VALUE"""),"PLN")</f>
        <v>PLN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tr">
        <f>IFERROR(__xludf.DUMMYFUNCTION("""COMPUTED_VALUE"""),"993236a1-4fa5-4249-9228-af02bedc5a3a")</f>
        <v>993236a1-4fa5-4249-9228-af02bedc5a3a</v>
      </c>
      <c r="B43" s="3" t="str">
        <f>IFERROR(__xludf.DUMMYFUNCTION("""COMPUTED_VALUE"""),"Poznan")</f>
        <v>Poznan</v>
      </c>
      <c r="C43" s="4">
        <f>IFERROR(__xludf.DUMMYFUNCTION("""COMPUTED_VALUE"""),45670.0)</f>
        <v>45670</v>
      </c>
      <c r="D43" s="3">
        <f>IFERROR(__xludf.DUMMYFUNCTION("""COMPUTED_VALUE"""),54.0)</f>
        <v>54</v>
      </c>
      <c r="E43" s="3">
        <f>IFERROR(__xludf.DUMMYFUNCTION("""COMPUTED_VALUE"""),177552.0)</f>
        <v>177552</v>
      </c>
      <c r="F43" s="3" t="str">
        <f>IFERROR(__xludf.DUMMYFUNCTION("""COMPUTED_VALUE"""),"PLN")</f>
        <v>PLN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tr">
        <f>IFERROR(__xludf.DUMMYFUNCTION("""COMPUTED_VALUE"""),"80f78519-0b66-42fa-b173-6c602bd0fb56")</f>
        <v>80f78519-0b66-42fa-b173-6c602bd0fb56</v>
      </c>
      <c r="B44" s="3" t="str">
        <f>IFERROR(__xludf.DUMMYFUNCTION("""COMPUTED_VALUE"""),"Poznan")</f>
        <v>Poznan</v>
      </c>
      <c r="C44" s="4">
        <f>IFERROR(__xludf.DUMMYFUNCTION("""COMPUTED_VALUE"""),45670.0)</f>
        <v>45670</v>
      </c>
      <c r="D44" s="3">
        <f>IFERROR(__xludf.DUMMYFUNCTION("""COMPUTED_VALUE"""),56.0)</f>
        <v>56</v>
      </c>
      <c r="E44" s="3">
        <f>IFERROR(__xludf.DUMMYFUNCTION("""COMPUTED_VALUE"""),205632.0)</f>
        <v>205632</v>
      </c>
      <c r="F44" s="3" t="str">
        <f>IFERROR(__xludf.DUMMYFUNCTION("""COMPUTED_VALUE"""),"PLN")</f>
        <v>PLN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tr">
        <f>IFERROR(__xludf.DUMMYFUNCTION("""COMPUTED_VALUE"""),"6300619f-2b1f-47e2-bb23-c43e45bca55d")</f>
        <v>6300619f-2b1f-47e2-bb23-c43e45bca55d</v>
      </c>
      <c r="B45" s="3" t="str">
        <f>IFERROR(__xludf.DUMMYFUNCTION("""COMPUTED_VALUE"""),"Krakow")</f>
        <v>Krakow</v>
      </c>
      <c r="C45" s="4">
        <f>IFERROR(__xludf.DUMMYFUNCTION("""COMPUTED_VALUE"""),45670.0)</f>
        <v>45670</v>
      </c>
      <c r="D45" s="3">
        <f>IFERROR(__xludf.DUMMYFUNCTION("""COMPUTED_VALUE"""),51.0)</f>
        <v>51</v>
      </c>
      <c r="E45" s="3">
        <f>IFERROR(__xludf.DUMMYFUNCTION("""COMPUTED_VALUE"""),186201.0)</f>
        <v>186201</v>
      </c>
      <c r="F45" s="3" t="str">
        <f>IFERROR(__xludf.DUMMYFUNCTION("""COMPUTED_VALUE"""),"PLN")</f>
        <v>PLN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tr">
        <f>IFERROR(__xludf.DUMMYFUNCTION("""COMPUTED_VALUE"""),"890d2a84-f303-4c19-96ad-1904c62c4797")</f>
        <v>890d2a84-f303-4c19-96ad-1904c62c4797</v>
      </c>
      <c r="B46" s="3" t="str">
        <f>IFERROR(__xludf.DUMMYFUNCTION("""COMPUTED_VALUE"""),"Poznan")</f>
        <v>Poznan</v>
      </c>
      <c r="C46" s="4">
        <f>IFERROR(__xludf.DUMMYFUNCTION("""COMPUTED_VALUE"""),45670.0)</f>
        <v>45670</v>
      </c>
      <c r="D46" s="3">
        <f>IFERROR(__xludf.DUMMYFUNCTION("""COMPUTED_VALUE"""),62.0)</f>
        <v>62</v>
      </c>
      <c r="E46" s="3">
        <f>IFERROR(__xludf.DUMMYFUNCTION("""COMPUTED_VALUE"""),254448.0)</f>
        <v>254448</v>
      </c>
      <c r="F46" s="3" t="str">
        <f>IFERROR(__xludf.DUMMYFUNCTION("""COMPUTED_VALUE"""),"PLN")</f>
        <v>PLN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tr">
        <f>IFERROR(__xludf.DUMMYFUNCTION("""COMPUTED_VALUE"""),"8366c09f-fd56-4a04-946e-3d1fad10d00a")</f>
        <v>8366c09f-fd56-4a04-946e-3d1fad10d00a</v>
      </c>
      <c r="B47" s="3" t="str">
        <f>IFERROR(__xludf.DUMMYFUNCTION("""COMPUTED_VALUE"""),"Lodz")</f>
        <v>Lodz</v>
      </c>
      <c r="C47" s="4">
        <f>IFERROR(__xludf.DUMMYFUNCTION("""COMPUTED_VALUE"""),45670.0)</f>
        <v>45670</v>
      </c>
      <c r="D47" s="3">
        <f>IFERROR(__xludf.DUMMYFUNCTION("""COMPUTED_VALUE"""),64.0)</f>
        <v>64</v>
      </c>
      <c r="E47" s="3">
        <f>IFERROR(__xludf.DUMMYFUNCTION("""COMPUTED_VALUE"""),274944.0)</f>
        <v>274944</v>
      </c>
      <c r="F47" s="3" t="str">
        <f>IFERROR(__xludf.DUMMYFUNCTION("""COMPUTED_VALUE"""),"PLN")</f>
        <v>PLN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tr">
        <f>IFERROR(__xludf.DUMMYFUNCTION("""COMPUTED_VALUE"""),"e45cfd06-5301-4af4-858d-54ca4de59f79")</f>
        <v>e45cfd06-5301-4af4-858d-54ca4de59f79</v>
      </c>
      <c r="B48" s="3" t="str">
        <f>IFERROR(__xludf.DUMMYFUNCTION("""COMPUTED_VALUE"""),"Gdansk")</f>
        <v>Gdansk</v>
      </c>
      <c r="C48" s="4">
        <f>IFERROR(__xludf.DUMMYFUNCTION("""COMPUTED_VALUE"""),45670.0)</f>
        <v>45670</v>
      </c>
      <c r="D48" s="3">
        <f>IFERROR(__xludf.DUMMYFUNCTION("""COMPUTED_VALUE"""),52.0)</f>
        <v>52</v>
      </c>
      <c r="E48" s="3">
        <f>IFERROR(__xludf.DUMMYFUNCTION("""COMPUTED_VALUE"""),184652.0)</f>
        <v>184652</v>
      </c>
      <c r="F48" s="3" t="str">
        <f>IFERROR(__xludf.DUMMYFUNCTION("""COMPUTED_VALUE"""),"PLN")</f>
        <v>PLN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tr">
        <f>IFERROR(__xludf.DUMMYFUNCTION("""COMPUTED_VALUE"""),"ecc16b34-df78-42ba-9a83-bf5ca441db00")</f>
        <v>ecc16b34-df78-42ba-9a83-bf5ca441db00</v>
      </c>
      <c r="B49" s="3" t="str">
        <f>IFERROR(__xludf.DUMMYFUNCTION("""COMPUTED_VALUE"""),"Lodz")</f>
        <v>Lodz</v>
      </c>
      <c r="C49" s="4">
        <f>IFERROR(__xludf.DUMMYFUNCTION("""COMPUTED_VALUE"""),45670.0)</f>
        <v>45670</v>
      </c>
      <c r="D49" s="3">
        <f>IFERROR(__xludf.DUMMYFUNCTION("""COMPUTED_VALUE"""),68.0)</f>
        <v>68</v>
      </c>
      <c r="E49" s="3">
        <f>IFERROR(__xludf.DUMMYFUNCTION("""COMPUTED_VALUE"""),281588.0)</f>
        <v>281588</v>
      </c>
      <c r="F49" s="3" t="str">
        <f>IFERROR(__xludf.DUMMYFUNCTION("""COMPUTED_VALUE"""),"PLN")</f>
        <v>PLN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tr">
        <f>IFERROR(__xludf.DUMMYFUNCTION("""COMPUTED_VALUE"""),"d30d4a3e-b049-459b-83ab-b06a35c6415a")</f>
        <v>d30d4a3e-b049-459b-83ab-b06a35c6415a</v>
      </c>
      <c r="B50" s="3" t="str">
        <f>IFERROR(__xludf.DUMMYFUNCTION("""COMPUTED_VALUE"""),"Poznan")</f>
        <v>Poznan</v>
      </c>
      <c r="C50" s="4">
        <f>IFERROR(__xludf.DUMMYFUNCTION("""COMPUTED_VALUE"""),45670.0)</f>
        <v>45670</v>
      </c>
      <c r="D50" s="3">
        <f>IFERROR(__xludf.DUMMYFUNCTION("""COMPUTED_VALUE"""),61.0)</f>
        <v>61</v>
      </c>
      <c r="E50" s="3">
        <f>IFERROR(__xludf.DUMMYFUNCTION("""COMPUTED_VALUE"""),254126.0)</f>
        <v>254126</v>
      </c>
      <c r="F50" s="3" t="str">
        <f>IFERROR(__xludf.DUMMYFUNCTION("""COMPUTED_VALUE"""),"PLN")</f>
        <v>PLN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tr">
        <f>IFERROR(__xludf.DUMMYFUNCTION("""COMPUTED_VALUE"""),"f77320db-b7c0-425a-95b2-2cb7a56cf7ee")</f>
        <v>f77320db-b7c0-425a-95b2-2cb7a56cf7ee</v>
      </c>
      <c r="B51" s="3" t="str">
        <f>IFERROR(__xludf.DUMMYFUNCTION("""COMPUTED_VALUE"""),"Poznan")</f>
        <v>Poznan</v>
      </c>
      <c r="C51" s="4">
        <f>IFERROR(__xludf.DUMMYFUNCTION("""COMPUTED_VALUE"""),45670.0)</f>
        <v>45670</v>
      </c>
      <c r="D51" s="3">
        <f>IFERROR(__xludf.DUMMYFUNCTION("""COMPUTED_VALUE"""),52.0)</f>
        <v>52</v>
      </c>
      <c r="E51" s="3">
        <f>IFERROR(__xludf.DUMMYFUNCTION("""COMPUTED_VALUE"""),194272.0)</f>
        <v>194272</v>
      </c>
      <c r="F51" s="3" t="str">
        <f>IFERROR(__xludf.DUMMYFUNCTION("""COMPUTED_VALUE"""),"PLN")</f>
        <v>PLN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tr">
        <f>IFERROR(__xludf.DUMMYFUNCTION("""COMPUTED_VALUE"""),"96451d57-9d2d-4009-8d98-8a81709aaab3")</f>
        <v>96451d57-9d2d-4009-8d98-8a81709aaab3</v>
      </c>
      <c r="B52" s="3" t="str">
        <f>IFERROR(__xludf.DUMMYFUNCTION("""COMPUTED_VALUE"""),"Gdansk")</f>
        <v>Gdansk</v>
      </c>
      <c r="C52" s="4">
        <f>IFERROR(__xludf.DUMMYFUNCTION("""COMPUTED_VALUE"""),45670.0)</f>
        <v>45670</v>
      </c>
      <c r="D52" s="3">
        <f>IFERROR(__xludf.DUMMYFUNCTION("""COMPUTED_VALUE"""),55.0)</f>
        <v>55</v>
      </c>
      <c r="E52" s="3">
        <f>IFERROR(__xludf.DUMMYFUNCTION("""COMPUTED_VALUE"""),196515.0)</f>
        <v>196515</v>
      </c>
      <c r="F52" s="3" t="str">
        <f>IFERROR(__xludf.DUMMYFUNCTION("""COMPUTED_VALUE"""),"PLN")</f>
        <v>PLN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tr">
        <f>IFERROR(__xludf.DUMMYFUNCTION("""COMPUTED_VALUE"""),"7957a0aa-5256-4898-b7ae-c3aacd600289")</f>
        <v>7957a0aa-5256-4898-b7ae-c3aacd600289</v>
      </c>
      <c r="B53" s="3" t="str">
        <f>IFERROR(__xludf.DUMMYFUNCTION("""COMPUTED_VALUE"""),"Lodz")</f>
        <v>Lodz</v>
      </c>
      <c r="C53" s="4">
        <f>IFERROR(__xludf.DUMMYFUNCTION("""COMPUTED_VALUE"""),45670.0)</f>
        <v>45670</v>
      </c>
      <c r="D53" s="3">
        <f>IFERROR(__xludf.DUMMYFUNCTION("""COMPUTED_VALUE"""),56.0)</f>
        <v>56</v>
      </c>
      <c r="E53" s="3">
        <f>IFERROR(__xludf.DUMMYFUNCTION("""COMPUTED_VALUE"""),204288.0)</f>
        <v>204288</v>
      </c>
      <c r="F53" s="3" t="str">
        <f>IFERROR(__xludf.DUMMYFUNCTION("""COMPUTED_VALUE"""),"PLN")</f>
        <v>PLN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tr">
        <f>IFERROR(__xludf.DUMMYFUNCTION("""COMPUTED_VALUE"""),"47e81ae8-19b8-4512-86e4-d96a17e44d38")</f>
        <v>47e81ae8-19b8-4512-86e4-d96a17e44d38</v>
      </c>
      <c r="B54" s="3" t="str">
        <f>IFERROR(__xludf.DUMMYFUNCTION("""COMPUTED_VALUE"""),"Gdansk")</f>
        <v>Gdansk</v>
      </c>
      <c r="C54" s="4">
        <f>IFERROR(__xludf.DUMMYFUNCTION("""COMPUTED_VALUE"""),45670.0)</f>
        <v>45670</v>
      </c>
      <c r="D54" s="3">
        <f>IFERROR(__xludf.DUMMYFUNCTION("""COMPUTED_VALUE"""),52.0)</f>
        <v>52</v>
      </c>
      <c r="E54" s="3">
        <f>IFERROR(__xludf.DUMMYFUNCTION("""COMPUTED_VALUE"""),185796.0)</f>
        <v>185796</v>
      </c>
      <c r="F54" s="3" t="str">
        <f>IFERROR(__xludf.DUMMYFUNCTION("""COMPUTED_VALUE"""),"PLN")</f>
        <v>PLN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tr">
        <f>IFERROR(__xludf.DUMMYFUNCTION("""COMPUTED_VALUE"""),"3858513f-9523-4c89-9df4-3ef62acaf07e")</f>
        <v>3858513f-9523-4c89-9df4-3ef62acaf07e</v>
      </c>
      <c r="B55" s="3" t="str">
        <f>IFERROR(__xludf.DUMMYFUNCTION("""COMPUTED_VALUE"""),"Warsaw")</f>
        <v>Warsaw</v>
      </c>
      <c r="C55" s="4">
        <f>IFERROR(__xludf.DUMMYFUNCTION("""COMPUTED_VALUE"""),45670.0)</f>
        <v>45670</v>
      </c>
      <c r="D55" s="3">
        <f>IFERROR(__xludf.DUMMYFUNCTION("""COMPUTED_VALUE"""),64.0)</f>
        <v>64</v>
      </c>
      <c r="E55" s="3">
        <f>IFERROR(__xludf.DUMMYFUNCTION("""COMPUTED_VALUE"""),274944.0)</f>
        <v>274944</v>
      </c>
      <c r="F55" s="3" t="str">
        <f>IFERROR(__xludf.DUMMYFUNCTION("""COMPUTED_VALUE"""),"PLN")</f>
        <v>PLN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tr">
        <f>IFERROR(__xludf.DUMMYFUNCTION("""COMPUTED_VALUE"""),"6146b9ba-321d-43b4-8066-db955face27b")</f>
        <v>6146b9ba-321d-43b4-8066-db955face27b</v>
      </c>
      <c r="B56" s="3" t="str">
        <f>IFERROR(__xludf.DUMMYFUNCTION("""COMPUTED_VALUE"""),"Gdansk")</f>
        <v>Gdansk</v>
      </c>
      <c r="C56" s="4">
        <f>IFERROR(__xludf.DUMMYFUNCTION("""COMPUTED_VALUE"""),45670.0)</f>
        <v>45670</v>
      </c>
      <c r="D56" s="3">
        <f>IFERROR(__xludf.DUMMYFUNCTION("""COMPUTED_VALUE"""),60.0)</f>
        <v>60</v>
      </c>
      <c r="E56" s="3">
        <f>IFERROR(__xludf.DUMMYFUNCTION("""COMPUTED_VALUE"""),207600.0)</f>
        <v>207600</v>
      </c>
      <c r="F56" s="3" t="str">
        <f>IFERROR(__xludf.DUMMYFUNCTION("""COMPUTED_VALUE"""),"PLN")</f>
        <v>PLN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tr">
        <f>IFERROR(__xludf.DUMMYFUNCTION("""COMPUTED_VALUE"""),"bf35d089-db01-4cf9-9472-9693659275fe")</f>
        <v>bf35d089-db01-4cf9-9472-9693659275fe</v>
      </c>
      <c r="B57" s="3" t="str">
        <f>IFERROR(__xludf.DUMMYFUNCTION("""COMPUTED_VALUE"""),"Gdansk")</f>
        <v>Gdansk</v>
      </c>
      <c r="C57" s="4">
        <f>IFERROR(__xludf.DUMMYFUNCTION("""COMPUTED_VALUE"""),45670.0)</f>
        <v>45670</v>
      </c>
      <c r="D57" s="3">
        <f>IFERROR(__xludf.DUMMYFUNCTION("""COMPUTED_VALUE"""),51.0)</f>
        <v>51</v>
      </c>
      <c r="E57" s="3">
        <f>IFERROR(__xludf.DUMMYFUNCTION("""COMPUTED_VALUE"""),162129.0)</f>
        <v>162129</v>
      </c>
      <c r="F57" s="3" t="str">
        <f>IFERROR(__xludf.DUMMYFUNCTION("""COMPUTED_VALUE"""),"PLN")</f>
        <v>PLN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tr">
        <f>IFERROR(__xludf.DUMMYFUNCTION("""COMPUTED_VALUE"""),"3084d2c8-b970-41bd-b994-8548873931c5")</f>
        <v>3084d2c8-b970-41bd-b994-8548873931c5</v>
      </c>
      <c r="B58" s="3" t="str">
        <f>IFERROR(__xludf.DUMMYFUNCTION("""COMPUTED_VALUE"""),"Poznan")</f>
        <v>Poznan</v>
      </c>
      <c r="C58" s="4">
        <f>IFERROR(__xludf.DUMMYFUNCTION("""COMPUTED_VALUE"""),45684.0)</f>
        <v>45684</v>
      </c>
      <c r="D58" s="3">
        <f>IFERROR(__xludf.DUMMYFUNCTION("""COMPUTED_VALUE"""),64.0)</f>
        <v>64</v>
      </c>
      <c r="E58" s="3">
        <f>IFERROR(__xludf.DUMMYFUNCTION("""COMPUTED_VALUE"""),257536.0)</f>
        <v>257536</v>
      </c>
      <c r="F58" s="3" t="str">
        <f>IFERROR(__xludf.DUMMYFUNCTION("""COMPUTED_VALUE"""),"PLN")</f>
        <v>PLN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tr">
        <f>IFERROR(__xludf.DUMMYFUNCTION("""COMPUTED_VALUE"""),"80f78519-0b66-42fa-b173-6c602bd0fb56")</f>
        <v>80f78519-0b66-42fa-b173-6c602bd0fb56</v>
      </c>
      <c r="B59" s="3" t="str">
        <f>IFERROR(__xludf.DUMMYFUNCTION("""COMPUTED_VALUE"""),"Poznan")</f>
        <v>Poznan</v>
      </c>
      <c r="C59" s="4">
        <f>IFERROR(__xludf.DUMMYFUNCTION("""COMPUTED_VALUE"""),45684.0)</f>
        <v>45684</v>
      </c>
      <c r="D59" s="3">
        <f>IFERROR(__xludf.DUMMYFUNCTION("""COMPUTED_VALUE"""),64.0)</f>
        <v>64</v>
      </c>
      <c r="E59" s="3">
        <f>IFERROR(__xludf.DUMMYFUNCTION("""COMPUTED_VALUE"""),267072.0)</f>
        <v>267072</v>
      </c>
      <c r="F59" s="3" t="str">
        <f>IFERROR(__xludf.DUMMYFUNCTION("""COMPUTED_VALUE"""),"PLN")</f>
        <v>PLN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tr">
        <f>IFERROR(__xludf.DUMMYFUNCTION("""COMPUTED_VALUE"""),"8106cb53-e8b7-4d6e-ad1b-c82cac7624c6")</f>
        <v>8106cb53-e8b7-4d6e-ad1b-c82cac7624c6</v>
      </c>
      <c r="B60" s="3" t="str">
        <f>IFERROR(__xludf.DUMMYFUNCTION("""COMPUTED_VALUE"""),"Poznan")</f>
        <v>Poznan</v>
      </c>
      <c r="C60" s="4">
        <f>IFERROR(__xludf.DUMMYFUNCTION("""COMPUTED_VALUE"""),45684.0)</f>
        <v>45684</v>
      </c>
      <c r="D60" s="3">
        <f>IFERROR(__xludf.DUMMYFUNCTION("""COMPUTED_VALUE"""),59.0)</f>
        <v>59</v>
      </c>
      <c r="E60" s="3">
        <f>IFERROR(__xludf.DUMMYFUNCTION("""COMPUTED_VALUE"""),215055.0)</f>
        <v>215055</v>
      </c>
      <c r="F60" s="3" t="str">
        <f>IFERROR(__xludf.DUMMYFUNCTION("""COMPUTED_VALUE"""),"PLN")</f>
        <v>PLN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tr">
        <f>IFERROR(__xludf.DUMMYFUNCTION("""COMPUTED_VALUE"""),"85ffb048-8f87-493a-b453-d7d9d300dfbb")</f>
        <v>85ffb048-8f87-493a-b453-d7d9d300dfbb</v>
      </c>
      <c r="B61" s="3" t="str">
        <f>IFERROR(__xludf.DUMMYFUNCTION("""COMPUTED_VALUE"""),"Poznan")</f>
        <v>Poznan</v>
      </c>
      <c r="C61" s="4">
        <f>IFERROR(__xludf.DUMMYFUNCTION("""COMPUTED_VALUE"""),45684.0)</f>
        <v>45684</v>
      </c>
      <c r="D61" s="3">
        <f>IFERROR(__xludf.DUMMYFUNCTION("""COMPUTED_VALUE"""),66.0)</f>
        <v>66</v>
      </c>
      <c r="E61" s="3">
        <f>IFERROR(__xludf.DUMMYFUNCTION("""COMPUTED_VALUE"""),278586.0)</f>
        <v>278586</v>
      </c>
      <c r="F61" s="3" t="str">
        <f>IFERROR(__xludf.DUMMYFUNCTION("""COMPUTED_VALUE"""),"PLN")</f>
        <v>PLN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tr">
        <f>IFERROR(__xludf.DUMMYFUNCTION("""COMPUTED_VALUE"""),"d894e29d-c9ec-43fc-94ce-f6b4d1b81294")</f>
        <v>d894e29d-c9ec-43fc-94ce-f6b4d1b81294</v>
      </c>
      <c r="B62" s="3" t="str">
        <f>IFERROR(__xludf.DUMMYFUNCTION("""COMPUTED_VALUE"""),"Wroclaw")</f>
        <v>Wroclaw</v>
      </c>
      <c r="C62" s="4">
        <f>IFERROR(__xludf.DUMMYFUNCTION("""COMPUTED_VALUE"""),45670.0)</f>
        <v>45670</v>
      </c>
      <c r="D62" s="3">
        <f>IFERROR(__xludf.DUMMYFUNCTION("""COMPUTED_VALUE"""),63.0)</f>
        <v>63</v>
      </c>
      <c r="E62" s="3">
        <f>IFERROR(__xludf.DUMMYFUNCTION("""COMPUTED_VALUE"""),246330.0)</f>
        <v>246330</v>
      </c>
      <c r="F62" s="3" t="str">
        <f>IFERROR(__xludf.DUMMYFUNCTION("""COMPUTED_VALUE"""),"PLN")</f>
        <v>PLN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tr">
        <f>IFERROR(__xludf.DUMMYFUNCTION("""COMPUTED_VALUE"""),"e3f3b31e-0af8-4d02-9bcc-4423ad8a97a9")</f>
        <v>e3f3b31e-0af8-4d02-9bcc-4423ad8a97a9</v>
      </c>
      <c r="B63" s="3" t="str">
        <f>IFERROR(__xludf.DUMMYFUNCTION("""COMPUTED_VALUE"""),"Wroclaw")</f>
        <v>Wroclaw</v>
      </c>
      <c r="C63" s="4">
        <f>IFERROR(__xludf.DUMMYFUNCTION("""COMPUTED_VALUE"""),45670.0)</f>
        <v>45670</v>
      </c>
      <c r="D63" s="3">
        <f>IFERROR(__xludf.DUMMYFUNCTION("""COMPUTED_VALUE"""),63.0)</f>
        <v>63</v>
      </c>
      <c r="E63" s="3">
        <f>IFERROR(__xludf.DUMMYFUNCTION("""COMPUTED_VALUE"""),272475.0)</f>
        <v>272475</v>
      </c>
      <c r="F63" s="3" t="str">
        <f>IFERROR(__xludf.DUMMYFUNCTION("""COMPUTED_VALUE"""),"PLN")</f>
        <v>PLN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tr">
        <f>IFERROR(__xludf.DUMMYFUNCTION("""COMPUTED_VALUE"""),"31b85576-c3ee-484b-978e-8e2cb84c955e")</f>
        <v>31b85576-c3ee-484b-978e-8e2cb84c955e</v>
      </c>
      <c r="B64" s="3" t="str">
        <f>IFERROR(__xludf.DUMMYFUNCTION("""COMPUTED_VALUE"""),"Poznan")</f>
        <v>Poznan</v>
      </c>
      <c r="C64" s="4">
        <f>IFERROR(__xludf.DUMMYFUNCTION("""COMPUTED_VALUE"""),45684.0)</f>
        <v>45684</v>
      </c>
      <c r="D64" s="3">
        <f>IFERROR(__xludf.DUMMYFUNCTION("""COMPUTED_VALUE"""),67.0)</f>
        <v>67</v>
      </c>
      <c r="E64" s="3">
        <f>IFERROR(__xludf.DUMMYFUNCTION("""COMPUTED_VALUE"""),295671.0)</f>
        <v>295671</v>
      </c>
      <c r="F64" s="3" t="str">
        <f>IFERROR(__xludf.DUMMYFUNCTION("""COMPUTED_VALUE"""),"PLN")</f>
        <v>PLN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tr">
        <f>IFERROR(__xludf.DUMMYFUNCTION("""COMPUTED_VALUE"""),"028e33e1-53ce-4d8e-a32b-68a0cda8e5fb")</f>
        <v>028e33e1-53ce-4d8e-a32b-68a0cda8e5fb</v>
      </c>
      <c r="B65" s="3" t="str">
        <f>IFERROR(__xludf.DUMMYFUNCTION("""COMPUTED_VALUE"""),"Krakow")</f>
        <v>Krakow</v>
      </c>
      <c r="C65" s="4">
        <f>IFERROR(__xludf.DUMMYFUNCTION("""COMPUTED_VALUE"""),45670.0)</f>
        <v>45670</v>
      </c>
      <c r="D65" s="3">
        <f>IFERROR(__xludf.DUMMYFUNCTION("""COMPUTED_VALUE"""),51.0)</f>
        <v>51</v>
      </c>
      <c r="E65" s="3">
        <f>IFERROR(__xludf.DUMMYFUNCTION("""COMPUTED_VALUE"""),195075.0)</f>
        <v>195075</v>
      </c>
      <c r="F65" s="3" t="str">
        <f>IFERROR(__xludf.DUMMYFUNCTION("""COMPUTED_VALUE"""),"PLN")</f>
        <v>PLN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tr">
        <f>IFERROR(__xludf.DUMMYFUNCTION("""COMPUTED_VALUE"""),"e5f5e164-253d-4a32-a65e-6a008f77b444")</f>
        <v>e5f5e164-253d-4a32-a65e-6a008f77b444</v>
      </c>
      <c r="B66" s="3" t="str">
        <f>IFERROR(__xludf.DUMMYFUNCTION("""COMPUTED_VALUE"""),"Krakow")</f>
        <v>Krakow</v>
      </c>
      <c r="C66" s="4">
        <f>IFERROR(__xludf.DUMMYFUNCTION("""COMPUTED_VALUE"""),45670.0)</f>
        <v>45670</v>
      </c>
      <c r="D66" s="3">
        <f>IFERROR(__xludf.DUMMYFUNCTION("""COMPUTED_VALUE"""),61.0)</f>
        <v>61</v>
      </c>
      <c r="E66" s="3">
        <f>IFERROR(__xludf.DUMMYFUNCTION("""COMPUTED_VALUE"""),256749.0)</f>
        <v>256749</v>
      </c>
      <c r="F66" s="3" t="str">
        <f>IFERROR(__xludf.DUMMYFUNCTION("""COMPUTED_VALUE"""),"PLN")</f>
        <v>PLN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 t="str">
        <f>IFERROR(__xludf.DUMMYFUNCTION("""COMPUTED_VALUE"""),"1878a50c-bb58-4c53-b69c-0e61ee6d0959")</f>
        <v>1878a50c-bb58-4c53-b69c-0e61ee6d0959</v>
      </c>
      <c r="B67" s="3" t="str">
        <f>IFERROR(__xludf.DUMMYFUNCTION("""COMPUTED_VALUE"""),"Warsaw")</f>
        <v>Warsaw</v>
      </c>
      <c r="C67" s="4">
        <f>IFERROR(__xludf.DUMMYFUNCTION("""COMPUTED_VALUE"""),45670.0)</f>
        <v>45670</v>
      </c>
      <c r="D67" s="3">
        <f>IFERROR(__xludf.DUMMYFUNCTION("""COMPUTED_VALUE"""),54.0)</f>
        <v>54</v>
      </c>
      <c r="E67" s="3">
        <f>IFERROR(__xludf.DUMMYFUNCTION("""COMPUTED_VALUE"""),189108.0)</f>
        <v>189108</v>
      </c>
      <c r="F67" s="3" t="str">
        <f>IFERROR(__xludf.DUMMYFUNCTION("""COMPUTED_VALUE"""),"PLN")</f>
        <v>PLN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 t="str">
        <f>IFERROR(__xludf.DUMMYFUNCTION("""COMPUTED_VALUE"""),"c10f06ee-28a6-4557-a8d5-933aa7aa7844")</f>
        <v>c10f06ee-28a6-4557-a8d5-933aa7aa7844</v>
      </c>
      <c r="B68" s="3" t="str">
        <f>IFERROR(__xludf.DUMMYFUNCTION("""COMPUTED_VALUE"""),"Gdansk")</f>
        <v>Gdansk</v>
      </c>
      <c r="C68" s="4">
        <f>IFERROR(__xludf.DUMMYFUNCTION("""COMPUTED_VALUE"""),45670.0)</f>
        <v>45670</v>
      </c>
      <c r="D68" s="3">
        <f>IFERROR(__xludf.DUMMYFUNCTION("""COMPUTED_VALUE"""),70.0)</f>
        <v>70</v>
      </c>
      <c r="E68" s="3">
        <f>IFERROR(__xludf.DUMMYFUNCTION("""COMPUTED_VALUE"""),296450.0)</f>
        <v>296450</v>
      </c>
      <c r="F68" s="3" t="str">
        <f>IFERROR(__xludf.DUMMYFUNCTION("""COMPUTED_VALUE"""),"PLN")</f>
        <v>PLN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 t="str">
        <f>IFERROR(__xludf.DUMMYFUNCTION("""COMPUTED_VALUE"""),"67e81f84-545f-4bfb-ab8e-07ae6aea19a9")</f>
        <v>67e81f84-545f-4bfb-ab8e-07ae6aea19a9</v>
      </c>
      <c r="B69" s="3" t="str">
        <f>IFERROR(__xludf.DUMMYFUNCTION("""COMPUTED_VALUE"""),"Krakow")</f>
        <v>Krakow</v>
      </c>
      <c r="C69" s="4">
        <f>IFERROR(__xludf.DUMMYFUNCTION("""COMPUTED_VALUE"""),45670.0)</f>
        <v>45670</v>
      </c>
      <c r="D69" s="3">
        <f>IFERROR(__xludf.DUMMYFUNCTION("""COMPUTED_VALUE"""),65.0)</f>
        <v>65</v>
      </c>
      <c r="E69" s="3">
        <f>IFERROR(__xludf.DUMMYFUNCTION("""COMPUTED_VALUE"""),280735.0)</f>
        <v>280735</v>
      </c>
      <c r="F69" s="3" t="str">
        <f>IFERROR(__xludf.DUMMYFUNCTION("""COMPUTED_VALUE"""),"PLN")</f>
        <v>PLN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 t="str">
        <f>IFERROR(__xludf.DUMMYFUNCTION("""COMPUTED_VALUE"""),"6300619f-2b1f-47e2-bb23-c43e45bca55d")</f>
        <v>6300619f-2b1f-47e2-bb23-c43e45bca55d</v>
      </c>
      <c r="B70" s="3" t="str">
        <f>IFERROR(__xludf.DUMMYFUNCTION("""COMPUTED_VALUE"""),"Krakow")</f>
        <v>Krakow</v>
      </c>
      <c r="C70" s="4">
        <f>IFERROR(__xludf.DUMMYFUNCTION("""COMPUTED_VALUE"""),45677.0)</f>
        <v>45677</v>
      </c>
      <c r="D70" s="3">
        <f>IFERROR(__xludf.DUMMYFUNCTION("""COMPUTED_VALUE"""),52.0)</f>
        <v>52</v>
      </c>
      <c r="E70" s="3">
        <f>IFERROR(__xludf.DUMMYFUNCTION("""COMPUTED_VALUE"""),160732.0)</f>
        <v>160732</v>
      </c>
      <c r="F70" s="3" t="str">
        <f>IFERROR(__xludf.DUMMYFUNCTION("""COMPUTED_VALUE"""),"PLN")</f>
        <v>PLN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 t="str">
        <f>IFERROR(__xludf.DUMMYFUNCTION("""COMPUTED_VALUE"""),"f7388d83-5906-4df5-9fc9-5ee5438f0a5d")</f>
        <v>f7388d83-5906-4df5-9fc9-5ee5438f0a5d</v>
      </c>
      <c r="B71" s="3" t="str">
        <f>IFERROR(__xludf.DUMMYFUNCTION("""COMPUTED_VALUE"""),"Lodz")</f>
        <v>Lodz</v>
      </c>
      <c r="C71" s="4">
        <f>IFERROR(__xludf.DUMMYFUNCTION("""COMPUTED_VALUE"""),45677.0)</f>
        <v>45677</v>
      </c>
      <c r="D71" s="3">
        <f>IFERROR(__xludf.DUMMYFUNCTION("""COMPUTED_VALUE"""),51.0)</f>
        <v>51</v>
      </c>
      <c r="E71" s="3">
        <f>IFERROR(__xludf.DUMMYFUNCTION("""COMPUTED_VALUE"""),194004.0)</f>
        <v>194004</v>
      </c>
      <c r="F71" s="3" t="str">
        <f>IFERROR(__xludf.DUMMYFUNCTION("""COMPUTED_VALUE"""),"PLN")</f>
        <v>PLN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 t="str">
        <f>IFERROR(__xludf.DUMMYFUNCTION("""COMPUTED_VALUE"""),"d6493a28-7324-4884-a0e8-b453f98ede84")</f>
        <v>d6493a28-7324-4884-a0e8-b453f98ede84</v>
      </c>
      <c r="B72" s="3" t="str">
        <f>IFERROR(__xludf.DUMMYFUNCTION("""COMPUTED_VALUE"""),"Krakow")</f>
        <v>Krakow</v>
      </c>
      <c r="C72" s="4">
        <f>IFERROR(__xludf.DUMMYFUNCTION("""COMPUTED_VALUE"""),45677.0)</f>
        <v>45677</v>
      </c>
      <c r="D72" s="3">
        <f>IFERROR(__xludf.DUMMYFUNCTION("""COMPUTED_VALUE"""),64.0)</f>
        <v>64</v>
      </c>
      <c r="E72" s="3">
        <f>IFERROR(__xludf.DUMMYFUNCTION("""COMPUTED_VALUE"""),251904.0)</f>
        <v>251904</v>
      </c>
      <c r="F72" s="3" t="str">
        <f>IFERROR(__xludf.DUMMYFUNCTION("""COMPUTED_VALUE"""),"PLN")</f>
        <v>PLN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 t="str">
        <f>IFERROR(__xludf.DUMMYFUNCTION("""COMPUTED_VALUE"""),"0249f184-5b67-469d-a05e-ab2f7f7af959")</f>
        <v>0249f184-5b67-469d-a05e-ab2f7f7af959</v>
      </c>
      <c r="B73" s="3" t="str">
        <f>IFERROR(__xludf.DUMMYFUNCTION("""COMPUTED_VALUE"""),"Krakow")</f>
        <v>Krakow</v>
      </c>
      <c r="C73" s="4">
        <f>IFERROR(__xludf.DUMMYFUNCTION("""COMPUTED_VALUE"""),45677.0)</f>
        <v>45677</v>
      </c>
      <c r="D73" s="3">
        <f>IFERROR(__xludf.DUMMYFUNCTION("""COMPUTED_VALUE"""),54.0)</f>
        <v>54</v>
      </c>
      <c r="E73" s="3">
        <f>IFERROR(__xludf.DUMMYFUNCTION("""COMPUTED_VALUE"""),190944.0)</f>
        <v>190944</v>
      </c>
      <c r="F73" s="3" t="str">
        <f>IFERROR(__xludf.DUMMYFUNCTION("""COMPUTED_VALUE"""),"PLN")</f>
        <v>PLN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 t="str">
        <f>IFERROR(__xludf.DUMMYFUNCTION("""COMPUTED_VALUE"""),"1308203b-4a46-4f50-b4d7-a762dfe62146")</f>
        <v>1308203b-4a46-4f50-b4d7-a762dfe62146</v>
      </c>
      <c r="B74" s="3" t="str">
        <f>IFERROR(__xludf.DUMMYFUNCTION("""COMPUTED_VALUE"""),"Wroclaw")</f>
        <v>Wroclaw</v>
      </c>
      <c r="C74" s="4">
        <f>IFERROR(__xludf.DUMMYFUNCTION("""COMPUTED_VALUE"""),45677.0)</f>
        <v>45677</v>
      </c>
      <c r="D74" s="3">
        <f>IFERROR(__xludf.DUMMYFUNCTION("""COMPUTED_VALUE"""),56.0)</f>
        <v>56</v>
      </c>
      <c r="E74" s="3">
        <f>IFERROR(__xludf.DUMMYFUNCTION("""COMPUTED_VALUE"""),196672.0)</f>
        <v>196672</v>
      </c>
      <c r="F74" s="3" t="str">
        <f>IFERROR(__xludf.DUMMYFUNCTION("""COMPUTED_VALUE"""),"PLN")</f>
        <v>PLN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 t="str">
        <f>IFERROR(__xludf.DUMMYFUNCTION("""COMPUTED_VALUE"""),"39f3a680-56e7-4b2b-a706-94319a1da61e")</f>
        <v>39f3a680-56e7-4b2b-a706-94319a1da61e</v>
      </c>
      <c r="B75" s="3" t="str">
        <f>IFERROR(__xludf.DUMMYFUNCTION("""COMPUTED_VALUE"""),"Warsaw")</f>
        <v>Warsaw</v>
      </c>
      <c r="C75" s="4">
        <f>IFERROR(__xludf.DUMMYFUNCTION("""COMPUTED_VALUE"""),45677.0)</f>
        <v>45677</v>
      </c>
      <c r="D75" s="3">
        <f>IFERROR(__xludf.DUMMYFUNCTION("""COMPUTED_VALUE"""),60.0)</f>
        <v>60</v>
      </c>
      <c r="E75" s="3">
        <f>IFERROR(__xludf.DUMMYFUNCTION("""COMPUTED_VALUE"""),232920.0)</f>
        <v>232920</v>
      </c>
      <c r="F75" s="3" t="str">
        <f>IFERROR(__xludf.DUMMYFUNCTION("""COMPUTED_VALUE"""),"PLN")</f>
        <v>PLN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 t="str">
        <f>IFERROR(__xludf.DUMMYFUNCTION("""COMPUTED_VALUE"""),"6187e698-f6c0-4e9d-88cb-f5265c58bf4a")</f>
        <v>6187e698-f6c0-4e9d-88cb-f5265c58bf4a</v>
      </c>
      <c r="B76" s="3" t="str">
        <f>IFERROR(__xludf.DUMMYFUNCTION("""COMPUTED_VALUE"""),"Lodz")</f>
        <v>Lodz</v>
      </c>
      <c r="C76" s="4">
        <f>IFERROR(__xludf.DUMMYFUNCTION("""COMPUTED_VALUE"""),45677.0)</f>
        <v>45677</v>
      </c>
      <c r="D76" s="3">
        <f>IFERROR(__xludf.DUMMYFUNCTION("""COMPUTED_VALUE"""),51.0)</f>
        <v>51</v>
      </c>
      <c r="E76" s="3">
        <f>IFERROR(__xludf.DUMMYFUNCTION("""COMPUTED_VALUE"""),161874.0)</f>
        <v>161874</v>
      </c>
      <c r="F76" s="3" t="str">
        <f>IFERROR(__xludf.DUMMYFUNCTION("""COMPUTED_VALUE"""),"PLN")</f>
        <v>PLN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 t="str">
        <f>IFERROR(__xludf.DUMMYFUNCTION("""COMPUTED_VALUE"""),"8366c09f-fd56-4a04-946e-3d1fad10d00a")</f>
        <v>8366c09f-fd56-4a04-946e-3d1fad10d00a</v>
      </c>
      <c r="B77" s="3" t="str">
        <f>IFERROR(__xludf.DUMMYFUNCTION("""COMPUTED_VALUE"""),"Lodz")</f>
        <v>Lodz</v>
      </c>
      <c r="C77" s="4">
        <f>IFERROR(__xludf.DUMMYFUNCTION("""COMPUTED_VALUE"""),45677.0)</f>
        <v>45677</v>
      </c>
      <c r="D77" s="3">
        <f>IFERROR(__xludf.DUMMYFUNCTION("""COMPUTED_VALUE"""),65.0)</f>
        <v>65</v>
      </c>
      <c r="E77" s="3">
        <f>IFERROR(__xludf.DUMMYFUNCTION("""COMPUTED_VALUE"""),265265.0)</f>
        <v>265265</v>
      </c>
      <c r="F77" s="3" t="str">
        <f>IFERROR(__xludf.DUMMYFUNCTION("""COMPUTED_VALUE"""),"PLN")</f>
        <v>PLN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 t="str">
        <f>IFERROR(__xludf.DUMMYFUNCTION("""COMPUTED_VALUE"""),"6a741918-1ba5-462d-963a-96bd8bc0cd7f")</f>
        <v>6a741918-1ba5-462d-963a-96bd8bc0cd7f</v>
      </c>
      <c r="B78" s="3" t="str">
        <f>IFERROR(__xludf.DUMMYFUNCTION("""COMPUTED_VALUE"""),"Wroclaw")</f>
        <v>Wroclaw</v>
      </c>
      <c r="C78" s="4">
        <f>IFERROR(__xludf.DUMMYFUNCTION("""COMPUTED_VALUE"""),45677.0)</f>
        <v>45677</v>
      </c>
      <c r="D78" s="3">
        <f>IFERROR(__xludf.DUMMYFUNCTION("""COMPUTED_VALUE"""),67.0)</f>
        <v>67</v>
      </c>
      <c r="E78" s="3">
        <f>IFERROR(__xludf.DUMMYFUNCTION("""COMPUTED_VALUE"""),274030.0)</f>
        <v>274030</v>
      </c>
      <c r="F78" s="3" t="str">
        <f>IFERROR(__xludf.DUMMYFUNCTION("""COMPUTED_VALUE"""),"PLN")</f>
        <v>PLN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 t="str">
        <f>IFERROR(__xludf.DUMMYFUNCTION("""COMPUTED_VALUE"""),"1ac91d0a-4da2-4c01-b38f-0cf9dd87fdc6")</f>
        <v>1ac91d0a-4da2-4c01-b38f-0cf9dd87fdc6</v>
      </c>
      <c r="B79" s="3" t="str">
        <f>IFERROR(__xludf.DUMMYFUNCTION("""COMPUTED_VALUE"""),"Wroclaw")</f>
        <v>Wroclaw</v>
      </c>
      <c r="C79" s="4">
        <f>IFERROR(__xludf.DUMMYFUNCTION("""COMPUTED_VALUE"""),45677.0)</f>
        <v>45677</v>
      </c>
      <c r="D79" s="3">
        <f>IFERROR(__xludf.DUMMYFUNCTION("""COMPUTED_VALUE"""),63.0)</f>
        <v>63</v>
      </c>
      <c r="E79" s="3">
        <f>IFERROR(__xludf.DUMMYFUNCTION("""COMPUTED_VALUE"""),272853.0)</f>
        <v>272853</v>
      </c>
      <c r="F79" s="3" t="str">
        <f>IFERROR(__xludf.DUMMYFUNCTION("""COMPUTED_VALUE"""),"PLN")</f>
        <v>PLN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 t="str">
        <f>IFERROR(__xludf.DUMMYFUNCTION("""COMPUTED_VALUE"""),"7ad59c70-12a2-4818-bee1-514b83dd37bb")</f>
        <v>7ad59c70-12a2-4818-bee1-514b83dd37bb</v>
      </c>
      <c r="B80" s="3" t="str">
        <f>IFERROR(__xludf.DUMMYFUNCTION("""COMPUTED_VALUE"""),"Gdansk")</f>
        <v>Gdansk</v>
      </c>
      <c r="C80" s="4">
        <f>IFERROR(__xludf.DUMMYFUNCTION("""COMPUTED_VALUE"""),45677.0)</f>
        <v>45677</v>
      </c>
      <c r="D80" s="3">
        <f>IFERROR(__xludf.DUMMYFUNCTION("""COMPUTED_VALUE"""),53.0)</f>
        <v>53</v>
      </c>
      <c r="E80" s="3">
        <f>IFERROR(__xludf.DUMMYFUNCTION("""COMPUTED_VALUE"""),204209.0)</f>
        <v>204209</v>
      </c>
      <c r="F80" s="3" t="str">
        <f>IFERROR(__xludf.DUMMYFUNCTION("""COMPUTED_VALUE"""),"PLN")</f>
        <v>PLN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 t="str">
        <f>IFERROR(__xludf.DUMMYFUNCTION("""COMPUTED_VALUE"""),"f66db0dd-6f7d-4438-a70f-3a452f276824")</f>
        <v>f66db0dd-6f7d-4438-a70f-3a452f276824</v>
      </c>
      <c r="B81" s="3" t="str">
        <f>IFERROR(__xludf.DUMMYFUNCTION("""COMPUTED_VALUE"""),"Warsaw")</f>
        <v>Warsaw</v>
      </c>
      <c r="C81" s="4">
        <f>IFERROR(__xludf.DUMMYFUNCTION("""COMPUTED_VALUE"""),45677.0)</f>
        <v>45677</v>
      </c>
      <c r="D81" s="3">
        <f>IFERROR(__xludf.DUMMYFUNCTION("""COMPUTED_VALUE"""),61.0)</f>
        <v>61</v>
      </c>
      <c r="E81" s="3">
        <f>IFERROR(__xludf.DUMMYFUNCTION("""COMPUTED_VALUE"""),267485.0)</f>
        <v>267485</v>
      </c>
      <c r="F81" s="3" t="str">
        <f>IFERROR(__xludf.DUMMYFUNCTION("""COMPUTED_VALUE"""),"PLN")</f>
        <v>PLN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 t="str">
        <f>IFERROR(__xludf.DUMMYFUNCTION("""COMPUTED_VALUE"""),"96f5ac8f-4723-47f4-8300-380ed21bc6e7")</f>
        <v>96f5ac8f-4723-47f4-8300-380ed21bc6e7</v>
      </c>
      <c r="B82" s="3" t="str">
        <f>IFERROR(__xludf.DUMMYFUNCTION("""COMPUTED_VALUE"""),"Poznan")</f>
        <v>Poznan</v>
      </c>
      <c r="C82" s="4">
        <f>IFERROR(__xludf.DUMMYFUNCTION("""COMPUTED_VALUE"""),45677.0)</f>
        <v>45677</v>
      </c>
      <c r="D82" s="3">
        <f>IFERROR(__xludf.DUMMYFUNCTION("""COMPUTED_VALUE"""),59.0)</f>
        <v>59</v>
      </c>
      <c r="E82" s="3">
        <f>IFERROR(__xludf.DUMMYFUNCTION("""COMPUTED_VALUE"""),197060.0)</f>
        <v>197060</v>
      </c>
      <c r="F82" s="3" t="str">
        <f>IFERROR(__xludf.DUMMYFUNCTION("""COMPUTED_VALUE"""),"PLN")</f>
        <v>PLN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 t="str">
        <f>IFERROR(__xludf.DUMMYFUNCTION("""COMPUTED_VALUE"""),"3084d2c8-b970-41bd-b994-8548873931c5")</f>
        <v>3084d2c8-b970-41bd-b994-8548873931c5</v>
      </c>
      <c r="B83" s="3" t="str">
        <f>IFERROR(__xludf.DUMMYFUNCTION("""COMPUTED_VALUE"""),"Poznan")</f>
        <v>Poznan</v>
      </c>
      <c r="C83" s="4">
        <f>IFERROR(__xludf.DUMMYFUNCTION("""COMPUTED_VALUE"""),45677.0)</f>
        <v>45677</v>
      </c>
      <c r="D83" s="3">
        <f>IFERROR(__xludf.DUMMYFUNCTION("""COMPUTED_VALUE"""),62.0)</f>
        <v>62</v>
      </c>
      <c r="E83" s="3">
        <f>IFERROR(__xludf.DUMMYFUNCTION("""COMPUTED_VALUE"""),269762.0)</f>
        <v>269762</v>
      </c>
      <c r="F83" s="3" t="str">
        <f>IFERROR(__xludf.DUMMYFUNCTION("""COMPUTED_VALUE"""),"PLN")</f>
        <v>PLN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 t="str">
        <f>IFERROR(__xludf.DUMMYFUNCTION("""COMPUTED_VALUE"""),"993236a1-4fa5-4249-9228-af02bedc5a3a")</f>
        <v>993236a1-4fa5-4249-9228-af02bedc5a3a</v>
      </c>
      <c r="B84" s="3" t="str">
        <f>IFERROR(__xludf.DUMMYFUNCTION("""COMPUTED_VALUE"""),"Poznan")</f>
        <v>Poznan</v>
      </c>
      <c r="C84" s="4">
        <f>IFERROR(__xludf.DUMMYFUNCTION("""COMPUTED_VALUE"""),45677.0)</f>
        <v>45677</v>
      </c>
      <c r="D84" s="3">
        <f>IFERROR(__xludf.DUMMYFUNCTION("""COMPUTED_VALUE"""),54.0)</f>
        <v>54</v>
      </c>
      <c r="E84" s="3">
        <f>IFERROR(__xludf.DUMMYFUNCTION("""COMPUTED_VALUE"""),162270.0)</f>
        <v>162270</v>
      </c>
      <c r="F84" s="3" t="str">
        <f>IFERROR(__xludf.DUMMYFUNCTION("""COMPUTED_VALUE"""),"PLN")</f>
        <v>PLN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 t="str">
        <f>IFERROR(__xludf.DUMMYFUNCTION("""COMPUTED_VALUE"""),"040b5c57-bbcd-491e-9168-21b2d807f924")</f>
        <v>040b5c57-bbcd-491e-9168-21b2d807f924</v>
      </c>
      <c r="B85" s="3" t="str">
        <f>IFERROR(__xludf.DUMMYFUNCTION("""COMPUTED_VALUE"""),"Lodz")</f>
        <v>Lodz</v>
      </c>
      <c r="C85" s="4">
        <f>IFERROR(__xludf.DUMMYFUNCTION("""COMPUTED_VALUE"""),45677.0)</f>
        <v>45677</v>
      </c>
      <c r="D85" s="3">
        <f>IFERROR(__xludf.DUMMYFUNCTION("""COMPUTED_VALUE"""),66.0)</f>
        <v>66</v>
      </c>
      <c r="E85" s="3">
        <f>IFERROR(__xludf.DUMMYFUNCTION("""COMPUTED_VALUE"""),266706.0)</f>
        <v>266706</v>
      </c>
      <c r="F85" s="3" t="str">
        <f>IFERROR(__xludf.DUMMYFUNCTION("""COMPUTED_VALUE"""),"PLN")</f>
        <v>PLN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 t="str">
        <f>IFERROR(__xludf.DUMMYFUNCTION("""COMPUTED_VALUE"""),"80f78519-0b66-42fa-b173-6c602bd0fb56")</f>
        <v>80f78519-0b66-42fa-b173-6c602bd0fb56</v>
      </c>
      <c r="B86" s="3" t="str">
        <f>IFERROR(__xludf.DUMMYFUNCTION("""COMPUTED_VALUE"""),"Poznan")</f>
        <v>Poznan</v>
      </c>
      <c r="C86" s="4">
        <f>IFERROR(__xludf.DUMMYFUNCTION("""COMPUTED_VALUE"""),45677.0)</f>
        <v>45677</v>
      </c>
      <c r="D86" s="3">
        <f>IFERROR(__xludf.DUMMYFUNCTION("""COMPUTED_VALUE"""),54.0)</f>
        <v>54</v>
      </c>
      <c r="E86" s="3">
        <f>IFERROR(__xludf.DUMMYFUNCTION("""COMPUTED_VALUE"""),181872.0)</f>
        <v>181872</v>
      </c>
      <c r="F86" s="3" t="str">
        <f>IFERROR(__xludf.DUMMYFUNCTION("""COMPUTED_VALUE"""),"PLN")</f>
        <v>PLN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 t="str">
        <f>IFERROR(__xludf.DUMMYFUNCTION("""COMPUTED_VALUE"""),"8106cb53-e8b7-4d6e-ad1b-c82cac7624c6")</f>
        <v>8106cb53-e8b7-4d6e-ad1b-c82cac7624c6</v>
      </c>
      <c r="B87" s="3" t="str">
        <f>IFERROR(__xludf.DUMMYFUNCTION("""COMPUTED_VALUE"""),"Poznan")</f>
        <v>Poznan</v>
      </c>
      <c r="C87" s="4">
        <f>IFERROR(__xludf.DUMMYFUNCTION("""COMPUTED_VALUE"""),45677.0)</f>
        <v>45677</v>
      </c>
      <c r="D87" s="3">
        <f>IFERROR(__xludf.DUMMYFUNCTION("""COMPUTED_VALUE"""),66.0)</f>
        <v>66</v>
      </c>
      <c r="E87" s="3">
        <f>IFERROR(__xludf.DUMMYFUNCTION("""COMPUTED_VALUE"""),292446.0)</f>
        <v>292446</v>
      </c>
      <c r="F87" s="3" t="str">
        <f>IFERROR(__xludf.DUMMYFUNCTION("""COMPUTED_VALUE"""),"PLN")</f>
        <v>PLN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 t="str">
        <f>IFERROR(__xludf.DUMMYFUNCTION("""COMPUTED_VALUE"""),"8106cb53-e8b7-4d6e-ad1b-c82cac7624c6")</f>
        <v>8106cb53-e8b7-4d6e-ad1b-c82cac7624c6</v>
      </c>
      <c r="B88" s="3" t="str">
        <f>IFERROR(__xludf.DUMMYFUNCTION("""COMPUTED_VALUE"""),"Poznan")</f>
        <v>Poznan</v>
      </c>
      <c r="C88" s="4">
        <f>IFERROR(__xludf.DUMMYFUNCTION("""COMPUTED_VALUE"""),45677.0)</f>
        <v>45677</v>
      </c>
      <c r="D88" s="3">
        <f>IFERROR(__xludf.DUMMYFUNCTION("""COMPUTED_VALUE"""),66.0)</f>
        <v>66</v>
      </c>
      <c r="E88" s="3">
        <f>IFERROR(__xludf.DUMMYFUNCTION("""COMPUTED_VALUE"""),292446.0)</f>
        <v>292446</v>
      </c>
      <c r="F88" s="3" t="str">
        <f>IFERROR(__xludf.DUMMYFUNCTION("""COMPUTED_VALUE"""),"PLN")</f>
        <v>PLN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 t="str">
        <f>IFERROR(__xludf.DUMMYFUNCTION("""COMPUTED_VALUE"""),"8106cb53-e8b7-4d6e-ad1b-c82cac7624c6")</f>
        <v>8106cb53-e8b7-4d6e-ad1b-c82cac7624c6</v>
      </c>
      <c r="B89" s="3" t="str">
        <f>IFERROR(__xludf.DUMMYFUNCTION("""COMPUTED_VALUE"""),"Poznan")</f>
        <v>Poznan</v>
      </c>
      <c r="C89" s="4">
        <f>IFERROR(__xludf.DUMMYFUNCTION("""COMPUTED_VALUE"""),45677.0)</f>
        <v>45677</v>
      </c>
      <c r="D89" s="3">
        <f>IFERROR(__xludf.DUMMYFUNCTION("""COMPUTED_VALUE"""),66.0)</f>
        <v>66</v>
      </c>
      <c r="E89" s="3">
        <f>IFERROR(__xludf.DUMMYFUNCTION("""COMPUTED_VALUE"""),292446.0)</f>
        <v>292446</v>
      </c>
      <c r="F89" s="3" t="str">
        <f>IFERROR(__xludf.DUMMYFUNCTION("""COMPUTED_VALUE"""),"PLN")</f>
        <v>PLN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 t="str">
        <f>IFERROR(__xludf.DUMMYFUNCTION("""COMPUTED_VALUE"""),"8106cb53-e8b7-4d6e-ad1b-c82cac7624c6")</f>
        <v>8106cb53-e8b7-4d6e-ad1b-c82cac7624c6</v>
      </c>
      <c r="B90" s="3" t="str">
        <f>IFERROR(__xludf.DUMMYFUNCTION("""COMPUTED_VALUE"""),"Poznan")</f>
        <v>Poznan</v>
      </c>
      <c r="C90" s="4">
        <f>IFERROR(__xludf.DUMMYFUNCTION("""COMPUTED_VALUE"""),45677.0)</f>
        <v>45677</v>
      </c>
      <c r="D90" s="3">
        <f>IFERROR(__xludf.DUMMYFUNCTION("""COMPUTED_VALUE"""),66.0)</f>
        <v>66</v>
      </c>
      <c r="E90" s="3">
        <f>IFERROR(__xludf.DUMMYFUNCTION("""COMPUTED_VALUE"""),292446.0)</f>
        <v>292446</v>
      </c>
      <c r="F90" s="3" t="str">
        <f>IFERROR(__xludf.DUMMYFUNCTION("""COMPUTED_VALUE"""),"PLN")</f>
        <v>PLN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 t="str">
        <f>IFERROR(__xludf.DUMMYFUNCTION("""COMPUTED_VALUE"""),"31b85576-c3ee-484b-978e-8e2cb84c955e")</f>
        <v>31b85576-c3ee-484b-978e-8e2cb84c955e</v>
      </c>
      <c r="B91" s="3" t="str">
        <f>IFERROR(__xludf.DUMMYFUNCTION("""COMPUTED_VALUE"""),"Poznan")</f>
        <v>Poznan</v>
      </c>
      <c r="C91" s="4">
        <f>IFERROR(__xludf.DUMMYFUNCTION("""COMPUTED_VALUE"""),45677.0)</f>
        <v>45677</v>
      </c>
      <c r="D91" s="3">
        <f>IFERROR(__xludf.DUMMYFUNCTION("""COMPUTED_VALUE"""),58.0)</f>
        <v>58</v>
      </c>
      <c r="E91" s="3">
        <f>IFERROR(__xludf.DUMMYFUNCTION("""COMPUTED_VALUE"""),182468.0)</f>
        <v>182468</v>
      </c>
      <c r="F91" s="3" t="str">
        <f>IFERROR(__xludf.DUMMYFUNCTION("""COMPUTED_VALUE"""),"PLN")</f>
        <v>PLN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 t="str">
        <f>IFERROR(__xludf.DUMMYFUNCTION("""COMPUTED_VALUE"""),"b7cfebfd-ad3b-4c7c-9ab9-99e0f8c4444d")</f>
        <v>b7cfebfd-ad3b-4c7c-9ab9-99e0f8c4444d</v>
      </c>
      <c r="B92" s="3" t="str">
        <f>IFERROR(__xludf.DUMMYFUNCTION("""COMPUTED_VALUE"""),"Warsaw")</f>
        <v>Warsaw</v>
      </c>
      <c r="C92" s="4">
        <f>IFERROR(__xludf.DUMMYFUNCTION("""COMPUTED_VALUE"""),45677.0)</f>
        <v>45677</v>
      </c>
      <c r="D92" s="3">
        <f>IFERROR(__xludf.DUMMYFUNCTION("""COMPUTED_VALUE"""),62.0)</f>
        <v>62</v>
      </c>
      <c r="E92" s="3">
        <f>IFERROR(__xludf.DUMMYFUNCTION("""COMPUTED_VALUE"""),247256.0)</f>
        <v>247256</v>
      </c>
      <c r="F92" s="3" t="str">
        <f>IFERROR(__xludf.DUMMYFUNCTION("""COMPUTED_VALUE"""),"PLN")</f>
        <v>PLN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 t="str">
        <f>IFERROR(__xludf.DUMMYFUNCTION("""COMPUTED_VALUE"""),"7957a0aa-5256-4898-b7ae-c3aacd600289")</f>
        <v>7957a0aa-5256-4898-b7ae-c3aacd600289</v>
      </c>
      <c r="B93" s="3" t="str">
        <f>IFERROR(__xludf.DUMMYFUNCTION("""COMPUTED_VALUE"""),"Lodz")</f>
        <v>Lodz</v>
      </c>
      <c r="C93" s="4">
        <f>IFERROR(__xludf.DUMMYFUNCTION("""COMPUTED_VALUE"""),45677.0)</f>
        <v>45677</v>
      </c>
      <c r="D93" s="3">
        <f>IFERROR(__xludf.DUMMYFUNCTION("""COMPUTED_VALUE"""),58.0)</f>
        <v>58</v>
      </c>
      <c r="E93" s="3">
        <f>IFERROR(__xludf.DUMMYFUNCTION("""COMPUTED_VALUE"""),202652.0)</f>
        <v>202652</v>
      </c>
      <c r="F93" s="3" t="str">
        <f>IFERROR(__xludf.DUMMYFUNCTION("""COMPUTED_VALUE"""),"PLN")</f>
        <v>PLN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 t="str">
        <f>IFERROR(__xludf.DUMMYFUNCTION("""COMPUTED_VALUE"""),"b757ff69-cc47-429e-a214-c270396205bf")</f>
        <v>b757ff69-cc47-429e-a214-c270396205bf</v>
      </c>
      <c r="B94" s="3" t="str">
        <f>IFERROR(__xludf.DUMMYFUNCTION("""COMPUTED_VALUE"""),"Poznan")</f>
        <v>Poznan</v>
      </c>
      <c r="C94" s="4">
        <f>IFERROR(__xludf.DUMMYFUNCTION("""COMPUTED_VALUE"""),45677.0)</f>
        <v>45677</v>
      </c>
      <c r="D94" s="3">
        <f>IFERROR(__xludf.DUMMYFUNCTION("""COMPUTED_VALUE"""),69.0)</f>
        <v>69</v>
      </c>
      <c r="E94" s="3">
        <f>IFERROR(__xludf.DUMMYFUNCTION("""COMPUTED_VALUE"""),269445.0)</f>
        <v>269445</v>
      </c>
      <c r="F94" s="3" t="str">
        <f>IFERROR(__xludf.DUMMYFUNCTION("""COMPUTED_VALUE"""),"PLN")</f>
        <v>PLN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 t="str">
        <f>IFERROR(__xludf.DUMMYFUNCTION("""COMPUTED_VALUE"""),"e5f5e164-253d-4a32-a65e-6a008f77b444")</f>
        <v>e5f5e164-253d-4a32-a65e-6a008f77b444</v>
      </c>
      <c r="B95" s="3" t="str">
        <f>IFERROR(__xludf.DUMMYFUNCTION("""COMPUTED_VALUE"""),"Krakow")</f>
        <v>Krakow</v>
      </c>
      <c r="C95" s="4">
        <f>IFERROR(__xludf.DUMMYFUNCTION("""COMPUTED_VALUE"""),45677.0)</f>
        <v>45677</v>
      </c>
      <c r="D95" s="3">
        <f>IFERROR(__xludf.DUMMYFUNCTION("""COMPUTED_VALUE"""),56.0)</f>
        <v>56</v>
      </c>
      <c r="E95" s="3">
        <f>IFERROR(__xludf.DUMMYFUNCTION("""COMPUTED_VALUE"""),189952.0)</f>
        <v>189952</v>
      </c>
      <c r="F95" s="3" t="str">
        <f>IFERROR(__xludf.DUMMYFUNCTION("""COMPUTED_VALUE"""),"PLN")</f>
        <v>PLN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 t="str">
        <f>IFERROR(__xludf.DUMMYFUNCTION("""COMPUTED_VALUE"""),"10a27859-3889-4a62-92b3-2ea7d168e668")</f>
        <v>10a27859-3889-4a62-92b3-2ea7d168e668</v>
      </c>
      <c r="B96" s="3" t="str">
        <f>IFERROR(__xludf.DUMMYFUNCTION("""COMPUTED_VALUE"""),"Wroclaw")</f>
        <v>Wroclaw</v>
      </c>
      <c r="C96" s="4">
        <f>IFERROR(__xludf.DUMMYFUNCTION("""COMPUTED_VALUE"""),45677.0)</f>
        <v>45677</v>
      </c>
      <c r="D96" s="3">
        <f>IFERROR(__xludf.DUMMYFUNCTION("""COMPUTED_VALUE"""),64.0)</f>
        <v>64</v>
      </c>
      <c r="E96" s="3">
        <f>IFERROR(__xludf.DUMMYFUNCTION("""COMPUTED_VALUE"""),275136.0)</f>
        <v>275136</v>
      </c>
      <c r="F96" s="3" t="str">
        <f>IFERROR(__xludf.DUMMYFUNCTION("""COMPUTED_VALUE"""),"PLN")</f>
        <v>PLN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 t="str">
        <f>IFERROR(__xludf.DUMMYFUNCTION("""COMPUTED_VALUE"""),"25ca6117-3fed-4859-8cab-863863fe600b")</f>
        <v>25ca6117-3fed-4859-8cab-863863fe600b</v>
      </c>
      <c r="B97" s="3" t="str">
        <f>IFERROR(__xludf.DUMMYFUNCTION("""COMPUTED_VALUE"""),"Lodz")</f>
        <v>Lodz</v>
      </c>
      <c r="C97" s="4">
        <f>IFERROR(__xludf.DUMMYFUNCTION("""COMPUTED_VALUE"""),45677.0)</f>
        <v>45677</v>
      </c>
      <c r="D97" s="3">
        <f>IFERROR(__xludf.DUMMYFUNCTION("""COMPUTED_VALUE"""),63.0)</f>
        <v>63</v>
      </c>
      <c r="E97" s="3">
        <f>IFERROR(__xludf.DUMMYFUNCTION("""COMPUTED_VALUE"""),262143.0)</f>
        <v>262143</v>
      </c>
      <c r="F97" s="3" t="str">
        <f>IFERROR(__xludf.DUMMYFUNCTION("""COMPUTED_VALUE"""),"PLN")</f>
        <v>PLN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 t="str">
        <f>IFERROR(__xludf.DUMMYFUNCTION("""COMPUTED_VALUE"""),"6918fb7f-1c4d-4525-a24a-bc5c952a330e")</f>
        <v>6918fb7f-1c4d-4525-a24a-bc5c952a330e</v>
      </c>
      <c r="B98" s="3" t="str">
        <f>IFERROR(__xludf.DUMMYFUNCTION("""COMPUTED_VALUE"""),"Lodz")</f>
        <v>Lodz</v>
      </c>
      <c r="C98" s="4">
        <f>IFERROR(__xludf.DUMMYFUNCTION("""COMPUTED_VALUE"""),45677.0)</f>
        <v>45677</v>
      </c>
      <c r="D98" s="3">
        <f>IFERROR(__xludf.DUMMYFUNCTION("""COMPUTED_VALUE"""),62.0)</f>
        <v>62</v>
      </c>
      <c r="E98" s="3">
        <f>IFERROR(__xludf.DUMMYFUNCTION("""COMPUTED_VALUE"""),258416.0)</f>
        <v>258416</v>
      </c>
      <c r="F98" s="3" t="str">
        <f>IFERROR(__xludf.DUMMYFUNCTION("""COMPUTED_VALUE"""),"PLN")</f>
        <v>PLN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 t="str">
        <f>IFERROR(__xludf.DUMMYFUNCTION("""COMPUTED_VALUE"""),"d781564c-61ae-4ed2-99d4-765e00b4801e")</f>
        <v>d781564c-61ae-4ed2-99d4-765e00b4801e</v>
      </c>
      <c r="B99" s="3" t="str">
        <f>IFERROR(__xludf.DUMMYFUNCTION("""COMPUTED_VALUE"""),"Krakow")</f>
        <v>Krakow</v>
      </c>
      <c r="C99" s="4">
        <f>IFERROR(__xludf.DUMMYFUNCTION("""COMPUTED_VALUE"""),45677.0)</f>
        <v>45677</v>
      </c>
      <c r="D99" s="3">
        <f>IFERROR(__xludf.DUMMYFUNCTION("""COMPUTED_VALUE"""),58.0)</f>
        <v>58</v>
      </c>
      <c r="E99" s="3">
        <f>IFERROR(__xludf.DUMMYFUNCTION("""COMPUTED_VALUE"""),189428.0)</f>
        <v>189428</v>
      </c>
      <c r="F99" s="3" t="str">
        <f>IFERROR(__xludf.DUMMYFUNCTION("""COMPUTED_VALUE"""),"PLN")</f>
        <v>PLN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 t="str">
        <f>IFERROR(__xludf.DUMMYFUNCTION("""COMPUTED_VALUE"""),"d30d4a3e-b049-459b-83ab-b06a35c6415a")</f>
        <v>d30d4a3e-b049-459b-83ab-b06a35c6415a</v>
      </c>
      <c r="B100" s="3" t="str">
        <f>IFERROR(__xludf.DUMMYFUNCTION("""COMPUTED_VALUE"""),"Poznan")</f>
        <v>Poznan</v>
      </c>
      <c r="C100" s="4">
        <f>IFERROR(__xludf.DUMMYFUNCTION("""COMPUTED_VALUE"""),45677.0)</f>
        <v>45677</v>
      </c>
      <c r="D100" s="3">
        <f>IFERROR(__xludf.DUMMYFUNCTION("""COMPUTED_VALUE"""),65.0)</f>
        <v>65</v>
      </c>
      <c r="E100" s="3">
        <f>IFERROR(__xludf.DUMMYFUNCTION("""COMPUTED_VALUE"""),264160.0)</f>
        <v>264160</v>
      </c>
      <c r="F100" s="3" t="str">
        <f>IFERROR(__xludf.DUMMYFUNCTION("""COMPUTED_VALUE"""),"PLN")</f>
        <v>PLN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 t="str">
        <f>IFERROR(__xludf.DUMMYFUNCTION("""COMPUTED_VALUE"""),"e3f3b31e-0af8-4d02-9bcc-4423ad8a97a9")</f>
        <v>e3f3b31e-0af8-4d02-9bcc-4423ad8a97a9</v>
      </c>
      <c r="B101" s="3" t="str">
        <f>IFERROR(__xludf.DUMMYFUNCTION("""COMPUTED_VALUE"""),"Wroclaw")</f>
        <v>Wroclaw</v>
      </c>
      <c r="C101" s="4">
        <f>IFERROR(__xludf.DUMMYFUNCTION("""COMPUTED_VALUE"""),45677.0)</f>
        <v>45677</v>
      </c>
      <c r="D101" s="3">
        <f>IFERROR(__xludf.DUMMYFUNCTION("""COMPUTED_VALUE"""),66.0)</f>
        <v>66</v>
      </c>
      <c r="E101" s="3">
        <f>IFERROR(__xludf.DUMMYFUNCTION("""COMPUTED_VALUE"""),280566.0)</f>
        <v>280566</v>
      </c>
      <c r="F101" s="3" t="str">
        <f>IFERROR(__xludf.DUMMYFUNCTION("""COMPUTED_VALUE"""),"PLN")</f>
        <v>PLN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 t="str">
        <f>IFERROR(__xludf.DUMMYFUNCTION("""COMPUTED_VALUE"""),"d3d10171-8548-4095-b591-7ada1e38ec8a")</f>
        <v>d3d10171-8548-4095-b591-7ada1e38ec8a</v>
      </c>
      <c r="B102" s="3" t="str">
        <f>IFERROR(__xludf.DUMMYFUNCTION("""COMPUTED_VALUE"""),"Poznan")</f>
        <v>Poznan</v>
      </c>
      <c r="C102" s="4">
        <f>IFERROR(__xludf.DUMMYFUNCTION("""COMPUTED_VALUE"""),45677.0)</f>
        <v>45677</v>
      </c>
      <c r="D102" s="3">
        <f>IFERROR(__xludf.DUMMYFUNCTION("""COMPUTED_VALUE"""),56.0)</f>
        <v>56</v>
      </c>
      <c r="E102" s="3">
        <f>IFERROR(__xludf.DUMMYFUNCTION("""COMPUTED_VALUE"""),196616.0)</f>
        <v>196616</v>
      </c>
      <c r="F102" s="3" t="str">
        <f>IFERROR(__xludf.DUMMYFUNCTION("""COMPUTED_VALUE"""),"PLN")</f>
        <v>PLN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 t="str">
        <f>IFERROR(__xludf.DUMMYFUNCTION("""COMPUTED_VALUE"""),"81e70951-e499-4508-8ee2-5bad59e72ded")</f>
        <v>81e70951-e499-4508-8ee2-5bad59e72ded</v>
      </c>
      <c r="B103" s="3" t="str">
        <f>IFERROR(__xludf.DUMMYFUNCTION("""COMPUTED_VALUE"""),"Poznan")</f>
        <v>Poznan</v>
      </c>
      <c r="C103" s="4">
        <f>IFERROR(__xludf.DUMMYFUNCTION("""COMPUTED_VALUE"""),45677.0)</f>
        <v>45677</v>
      </c>
      <c r="D103" s="3">
        <f>IFERROR(__xludf.DUMMYFUNCTION("""COMPUTED_VALUE"""),59.0)</f>
        <v>59</v>
      </c>
      <c r="E103" s="3">
        <f>IFERROR(__xludf.DUMMYFUNCTION("""COMPUTED_VALUE"""),225793.0)</f>
        <v>225793</v>
      </c>
      <c r="F103" s="3" t="str">
        <f>IFERROR(__xludf.DUMMYFUNCTION("""COMPUTED_VALUE"""),"PLN")</f>
        <v>PLN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 t="str">
        <f>IFERROR(__xludf.DUMMYFUNCTION("""COMPUTED_VALUE"""),"fc678aaf-db1b-473d-a5b1-4658990fa530")</f>
        <v>fc678aaf-db1b-473d-a5b1-4658990fa530</v>
      </c>
      <c r="B104" s="3" t="str">
        <f>IFERROR(__xludf.DUMMYFUNCTION("""COMPUTED_VALUE"""),"Gdansk")</f>
        <v>Gdansk</v>
      </c>
      <c r="C104" s="4">
        <f>IFERROR(__xludf.DUMMYFUNCTION("""COMPUTED_VALUE"""),45677.0)</f>
        <v>45677</v>
      </c>
      <c r="D104" s="3">
        <f>IFERROR(__xludf.DUMMYFUNCTION("""COMPUTED_VALUE"""),70.0)</f>
        <v>70</v>
      </c>
      <c r="E104" s="3">
        <f>IFERROR(__xludf.DUMMYFUNCTION("""COMPUTED_VALUE"""),305410.0)</f>
        <v>305410</v>
      </c>
      <c r="F104" s="3" t="str">
        <f>IFERROR(__xludf.DUMMYFUNCTION("""COMPUTED_VALUE"""),"PLN")</f>
        <v>PLN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 t="str">
        <f>IFERROR(__xludf.DUMMYFUNCTION("""COMPUTED_VALUE"""),"e45cfd06-5301-4af4-858d-54ca4de59f79")</f>
        <v>e45cfd06-5301-4af4-858d-54ca4de59f79</v>
      </c>
      <c r="B105" s="3" t="str">
        <f>IFERROR(__xludf.DUMMYFUNCTION("""COMPUTED_VALUE"""),"Gdansk")</f>
        <v>Gdansk</v>
      </c>
      <c r="C105" s="4">
        <f>IFERROR(__xludf.DUMMYFUNCTION("""COMPUTED_VALUE"""),45677.0)</f>
        <v>45677</v>
      </c>
      <c r="D105" s="3">
        <f>IFERROR(__xludf.DUMMYFUNCTION("""COMPUTED_VALUE"""),55.0)</f>
        <v>55</v>
      </c>
      <c r="E105" s="3">
        <f>IFERROR(__xludf.DUMMYFUNCTION("""COMPUTED_VALUE"""),172865.0)</f>
        <v>172865</v>
      </c>
      <c r="F105" s="3" t="str">
        <f>IFERROR(__xludf.DUMMYFUNCTION("""COMPUTED_VALUE"""),"PLN")</f>
        <v>PLN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 t="str">
        <f>IFERROR(__xludf.DUMMYFUNCTION("""COMPUTED_VALUE"""),"fb3a15c1-d3c3-4f4f-b8ed-2113bd9c4f68")</f>
        <v>fb3a15c1-d3c3-4f4f-b8ed-2113bd9c4f68</v>
      </c>
      <c r="B106" s="3" t="str">
        <f>IFERROR(__xludf.DUMMYFUNCTION("""COMPUTED_VALUE"""),"Warsaw")</f>
        <v>Warsaw</v>
      </c>
      <c r="C106" s="4">
        <f>IFERROR(__xludf.DUMMYFUNCTION("""COMPUTED_VALUE"""),45677.0)</f>
        <v>45677</v>
      </c>
      <c r="D106" s="3">
        <f>IFERROR(__xludf.DUMMYFUNCTION("""COMPUTED_VALUE"""),59.0)</f>
        <v>59</v>
      </c>
      <c r="E106" s="3">
        <f>IFERROR(__xludf.DUMMYFUNCTION("""COMPUTED_VALUE"""),219126.0)</f>
        <v>219126</v>
      </c>
      <c r="F106" s="3" t="str">
        <f>IFERROR(__xludf.DUMMYFUNCTION("""COMPUTED_VALUE"""),"PLN")</f>
        <v>PLN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 t="str">
        <f>IFERROR(__xludf.DUMMYFUNCTION("""COMPUTED_VALUE"""),"1d8b79bd-3615-4236-a1b7-a8edb16c8a07")</f>
        <v>1d8b79bd-3615-4236-a1b7-a8edb16c8a07</v>
      </c>
      <c r="B107" s="3" t="str">
        <f>IFERROR(__xludf.DUMMYFUNCTION("""COMPUTED_VALUE"""),"Wroclaw")</f>
        <v>Wroclaw</v>
      </c>
      <c r="C107" s="4">
        <f>IFERROR(__xludf.DUMMYFUNCTION("""COMPUTED_VALUE"""),45677.0)</f>
        <v>45677</v>
      </c>
      <c r="D107" s="3">
        <f>IFERROR(__xludf.DUMMYFUNCTION("""COMPUTED_VALUE"""),63.0)</f>
        <v>63</v>
      </c>
      <c r="E107" s="3">
        <f>IFERROR(__xludf.DUMMYFUNCTION("""COMPUTED_VALUE"""),251118.0)</f>
        <v>251118</v>
      </c>
      <c r="F107" s="3" t="str">
        <f>IFERROR(__xludf.DUMMYFUNCTION("""COMPUTED_VALUE"""),"PLN")</f>
        <v>PLN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 t="str">
        <f>IFERROR(__xludf.DUMMYFUNCTION("""COMPUTED_VALUE"""),"96451d57-9d2d-4009-8d98-8a81709aaab3")</f>
        <v>96451d57-9d2d-4009-8d98-8a81709aaab3</v>
      </c>
      <c r="B108" s="3" t="str">
        <f>IFERROR(__xludf.DUMMYFUNCTION("""COMPUTED_VALUE"""),"Gdansk")</f>
        <v>Gdansk</v>
      </c>
      <c r="C108" s="4">
        <f>IFERROR(__xludf.DUMMYFUNCTION("""COMPUTED_VALUE"""),45677.0)</f>
        <v>45677</v>
      </c>
      <c r="D108" s="3">
        <f>IFERROR(__xludf.DUMMYFUNCTION("""COMPUTED_VALUE"""),58.0)</f>
        <v>58</v>
      </c>
      <c r="E108" s="3">
        <f>IFERROR(__xludf.DUMMYFUNCTION("""COMPUTED_VALUE"""),188384.0)</f>
        <v>188384</v>
      </c>
      <c r="F108" s="3" t="str">
        <f>IFERROR(__xludf.DUMMYFUNCTION("""COMPUTED_VALUE"""),"PLN")</f>
        <v>PLN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 t="str">
        <f>IFERROR(__xludf.DUMMYFUNCTION("""COMPUTED_VALUE"""),"b8cbb745-9e1a-44e6-b19f-16fe0ce167e4")</f>
        <v>b8cbb745-9e1a-44e6-b19f-16fe0ce167e4</v>
      </c>
      <c r="B109" s="3" t="str">
        <f>IFERROR(__xludf.DUMMYFUNCTION("""COMPUTED_VALUE"""),"Gdansk")</f>
        <v>Gdansk</v>
      </c>
      <c r="C109" s="4">
        <f>IFERROR(__xludf.DUMMYFUNCTION("""COMPUTED_VALUE"""),45677.0)</f>
        <v>45677</v>
      </c>
      <c r="D109" s="3">
        <f>IFERROR(__xludf.DUMMYFUNCTION("""COMPUTED_VALUE"""),60.0)</f>
        <v>60</v>
      </c>
      <c r="E109" s="3">
        <f>IFERROR(__xludf.DUMMYFUNCTION("""COMPUTED_VALUE"""),183360.0)</f>
        <v>183360</v>
      </c>
      <c r="F109" s="3" t="str">
        <f>IFERROR(__xludf.DUMMYFUNCTION("""COMPUTED_VALUE"""),"PLN")</f>
        <v>PLN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 t="str">
        <f>IFERROR(__xludf.DUMMYFUNCTION("""COMPUTED_VALUE"""),"11e241a8-48eb-4d58-9c2f-f1b0c4f70651")</f>
        <v>11e241a8-48eb-4d58-9c2f-f1b0c4f70651</v>
      </c>
      <c r="B110" s="3" t="str">
        <f>IFERROR(__xludf.DUMMYFUNCTION("""COMPUTED_VALUE"""),"Krakow")</f>
        <v>Krakow</v>
      </c>
      <c r="C110" s="4">
        <f>IFERROR(__xludf.DUMMYFUNCTION("""COMPUTED_VALUE"""),45677.0)</f>
        <v>45677</v>
      </c>
      <c r="D110" s="3">
        <f>IFERROR(__xludf.DUMMYFUNCTION("""COMPUTED_VALUE"""),58.0)</f>
        <v>58</v>
      </c>
      <c r="E110" s="3">
        <f>IFERROR(__xludf.DUMMYFUNCTION("""COMPUTED_VALUE"""),192502.0)</f>
        <v>192502</v>
      </c>
      <c r="F110" s="3" t="str">
        <f>IFERROR(__xludf.DUMMYFUNCTION("""COMPUTED_VALUE"""),"PLN")</f>
        <v>PLN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 t="str">
        <f>IFERROR(__xludf.DUMMYFUNCTION("""COMPUTED_VALUE"""),"14768b32-9c82-4e5c-b220-443f5b19e3e3")</f>
        <v>14768b32-9c82-4e5c-b220-443f5b19e3e3</v>
      </c>
      <c r="B111" s="3" t="str">
        <f>IFERROR(__xludf.DUMMYFUNCTION("""COMPUTED_VALUE"""),"Gdansk")</f>
        <v>Gdansk</v>
      </c>
      <c r="C111" s="4">
        <f>IFERROR(__xludf.DUMMYFUNCTION("""COMPUTED_VALUE"""),45677.0)</f>
        <v>45677</v>
      </c>
      <c r="D111" s="3">
        <f>IFERROR(__xludf.DUMMYFUNCTION("""COMPUTED_VALUE"""),60.0)</f>
        <v>60</v>
      </c>
      <c r="E111" s="3">
        <f>IFERROR(__xludf.DUMMYFUNCTION("""COMPUTED_VALUE"""),224820.0)</f>
        <v>224820</v>
      </c>
      <c r="F111" s="3" t="str">
        <f>IFERROR(__xludf.DUMMYFUNCTION("""COMPUTED_VALUE"""),"PLN")</f>
        <v>PLN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 t="str">
        <f>IFERROR(__xludf.DUMMYFUNCTION("""COMPUTED_VALUE"""),"53fd2bf4-307e-445e-8464-75a43b2ec730")</f>
        <v>53fd2bf4-307e-445e-8464-75a43b2ec730</v>
      </c>
      <c r="B112" s="3" t="str">
        <f>IFERROR(__xludf.DUMMYFUNCTION("""COMPUTED_VALUE"""),"Krakow")</f>
        <v>Krakow</v>
      </c>
      <c r="C112" s="4">
        <f>IFERROR(__xludf.DUMMYFUNCTION("""COMPUTED_VALUE"""),45677.0)</f>
        <v>45677</v>
      </c>
      <c r="D112" s="3">
        <f>IFERROR(__xludf.DUMMYFUNCTION("""COMPUTED_VALUE"""),66.0)</f>
        <v>66</v>
      </c>
      <c r="E112" s="3">
        <f>IFERROR(__xludf.DUMMYFUNCTION("""COMPUTED_VALUE"""),276474.0)</f>
        <v>276474</v>
      </c>
      <c r="F112" s="3" t="str">
        <f>IFERROR(__xludf.DUMMYFUNCTION("""COMPUTED_VALUE"""),"PLN")</f>
        <v>PLN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 t="str">
        <f>IFERROR(__xludf.DUMMYFUNCTION("""COMPUTED_VALUE"""),"1308203b-4a46-4f50-b4d7-a762dfe62146")</f>
        <v>1308203b-4a46-4f50-b4d7-a762dfe62146</v>
      </c>
      <c r="B113" s="3" t="str">
        <f>IFERROR(__xludf.DUMMYFUNCTION("""COMPUTED_VALUE"""),"Wroclaw")</f>
        <v>Wroclaw</v>
      </c>
      <c r="C113" s="4">
        <f>IFERROR(__xludf.DUMMYFUNCTION("""COMPUTED_VALUE"""),45684.0)</f>
        <v>45684</v>
      </c>
      <c r="D113" s="3">
        <f>IFERROR(__xludf.DUMMYFUNCTION("""COMPUTED_VALUE"""),60.0)</f>
        <v>60</v>
      </c>
      <c r="E113" s="3">
        <f>IFERROR(__xludf.DUMMYFUNCTION("""COMPUTED_VALUE"""),208320.0)</f>
        <v>208320</v>
      </c>
      <c r="F113" s="3" t="str">
        <f>IFERROR(__xludf.DUMMYFUNCTION("""COMPUTED_VALUE"""),"PLN")</f>
        <v>PLN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 t="str">
        <f>IFERROR(__xludf.DUMMYFUNCTION("""COMPUTED_VALUE"""),"4eeddb18-7bab-484c-94e3-c265e0ab4fd8")</f>
        <v>4eeddb18-7bab-484c-94e3-c265e0ab4fd8</v>
      </c>
      <c r="B114" s="3" t="str">
        <f>IFERROR(__xludf.DUMMYFUNCTION("""COMPUTED_VALUE"""),"Krakow")</f>
        <v>Krakow</v>
      </c>
      <c r="C114" s="4">
        <f>IFERROR(__xludf.DUMMYFUNCTION("""COMPUTED_VALUE"""),45677.0)</f>
        <v>45677</v>
      </c>
      <c r="D114" s="3">
        <f>IFERROR(__xludf.DUMMYFUNCTION("""COMPUTED_VALUE"""),67.0)</f>
        <v>67</v>
      </c>
      <c r="E114" s="3">
        <f>IFERROR(__xludf.DUMMYFUNCTION("""COMPUTED_VALUE"""),264181.0)</f>
        <v>264181</v>
      </c>
      <c r="F114" s="3" t="str">
        <f>IFERROR(__xludf.DUMMYFUNCTION("""COMPUTED_VALUE"""),"PLN")</f>
        <v>PLN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 t="str">
        <f>IFERROR(__xludf.DUMMYFUNCTION("""COMPUTED_VALUE"""),"67e81f84-545f-4bfb-ab8e-07ae6aea19a9")</f>
        <v>67e81f84-545f-4bfb-ab8e-07ae6aea19a9</v>
      </c>
      <c r="B115" s="3" t="str">
        <f>IFERROR(__xludf.DUMMYFUNCTION("""COMPUTED_VALUE"""),"Krakow")</f>
        <v>Krakow</v>
      </c>
      <c r="C115" s="4">
        <f>IFERROR(__xludf.DUMMYFUNCTION("""COMPUTED_VALUE"""),45677.0)</f>
        <v>45677</v>
      </c>
      <c r="D115" s="3">
        <f>IFERROR(__xludf.DUMMYFUNCTION("""COMPUTED_VALUE"""),70.0)</f>
        <v>70</v>
      </c>
      <c r="E115" s="3">
        <f>IFERROR(__xludf.DUMMYFUNCTION("""COMPUTED_VALUE"""),303100.0)</f>
        <v>303100</v>
      </c>
      <c r="F115" s="3" t="str">
        <f>IFERROR(__xludf.DUMMYFUNCTION("""COMPUTED_VALUE"""),"PLN")</f>
        <v>PLN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 t="str">
        <f>IFERROR(__xludf.DUMMYFUNCTION("""COMPUTED_VALUE"""),"4a1b1320-c994-4e53-af2f-cc1776a7ca85")</f>
        <v>4a1b1320-c994-4e53-af2f-cc1776a7ca85</v>
      </c>
      <c r="B116" s="3" t="str">
        <f>IFERROR(__xludf.DUMMYFUNCTION("""COMPUTED_VALUE"""),"Krakow")</f>
        <v>Krakow</v>
      </c>
      <c r="C116" s="4">
        <f>IFERROR(__xludf.DUMMYFUNCTION("""COMPUTED_VALUE"""),45677.0)</f>
        <v>45677</v>
      </c>
      <c r="D116" s="3">
        <f>IFERROR(__xludf.DUMMYFUNCTION("""COMPUTED_VALUE"""),70.0)</f>
        <v>70</v>
      </c>
      <c r="E116" s="3">
        <f>IFERROR(__xludf.DUMMYFUNCTION("""COMPUTED_VALUE"""),308910.0)</f>
        <v>308910</v>
      </c>
      <c r="F116" s="3" t="str">
        <f>IFERROR(__xludf.DUMMYFUNCTION("""COMPUTED_VALUE"""),"PLN")</f>
        <v>PLN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 t="str">
        <f>IFERROR(__xludf.DUMMYFUNCTION("""COMPUTED_VALUE"""),"63dc8854-5507-4bbc-b2e0-73e312a05bef")</f>
        <v>63dc8854-5507-4bbc-b2e0-73e312a05bef</v>
      </c>
      <c r="B117" s="3" t="str">
        <f>IFERROR(__xludf.DUMMYFUNCTION("""COMPUTED_VALUE"""),"Warsaw")</f>
        <v>Warsaw</v>
      </c>
      <c r="C117" s="4">
        <f>IFERROR(__xludf.DUMMYFUNCTION("""COMPUTED_VALUE"""),45684.0)</f>
        <v>45684</v>
      </c>
      <c r="D117" s="3">
        <f>IFERROR(__xludf.DUMMYFUNCTION("""COMPUTED_VALUE"""),59.0)</f>
        <v>59</v>
      </c>
      <c r="E117" s="3">
        <f>IFERROR(__xludf.DUMMYFUNCTION("""COMPUTED_VALUE"""),211102.0)</f>
        <v>211102</v>
      </c>
      <c r="F117" s="3" t="str">
        <f>IFERROR(__xludf.DUMMYFUNCTION("""COMPUTED_VALUE"""),"PLN")</f>
        <v>PLN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 t="str">
        <f>IFERROR(__xludf.DUMMYFUNCTION("""COMPUTED_VALUE"""),"f7388d83-5906-4df5-9fc9-5ee5438f0a5d")</f>
        <v>f7388d83-5906-4df5-9fc9-5ee5438f0a5d</v>
      </c>
      <c r="B118" s="3" t="str">
        <f>IFERROR(__xludf.DUMMYFUNCTION("""COMPUTED_VALUE"""),"Lodz")</f>
        <v>Lodz</v>
      </c>
      <c r="C118" s="4">
        <f>IFERROR(__xludf.DUMMYFUNCTION("""COMPUTED_VALUE"""),45684.0)</f>
        <v>45684</v>
      </c>
      <c r="D118" s="3">
        <f>IFERROR(__xludf.DUMMYFUNCTION("""COMPUTED_VALUE"""),65.0)</f>
        <v>65</v>
      </c>
      <c r="E118" s="3">
        <f>IFERROR(__xludf.DUMMYFUNCTION("""COMPUTED_VALUE"""),254995.0)</f>
        <v>254995</v>
      </c>
      <c r="F118" s="3" t="str">
        <f>IFERROR(__xludf.DUMMYFUNCTION("""COMPUTED_VALUE"""),"PLN")</f>
        <v>PLN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 t="str">
        <f>IFERROR(__xludf.DUMMYFUNCTION("""COMPUTED_VALUE"""),"c2d1b451-32e8-458b-98f7-bbacb52cf739")</f>
        <v>c2d1b451-32e8-458b-98f7-bbacb52cf739</v>
      </c>
      <c r="B119" s="3" t="str">
        <f>IFERROR(__xludf.DUMMYFUNCTION("""COMPUTED_VALUE"""),"Lodz")</f>
        <v>Lodz</v>
      </c>
      <c r="C119" s="4">
        <f>IFERROR(__xludf.DUMMYFUNCTION("""COMPUTED_VALUE"""),45684.0)</f>
        <v>45684</v>
      </c>
      <c r="D119" s="3">
        <f>IFERROR(__xludf.DUMMYFUNCTION("""COMPUTED_VALUE"""),62.0)</f>
        <v>62</v>
      </c>
      <c r="E119" s="3">
        <f>IFERROR(__xludf.DUMMYFUNCTION("""COMPUTED_VALUE"""),248372.0)</f>
        <v>248372</v>
      </c>
      <c r="F119" s="3" t="str">
        <f>IFERROR(__xludf.DUMMYFUNCTION("""COMPUTED_VALUE"""),"PLN")</f>
        <v>PLN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 t="str">
        <f>IFERROR(__xludf.DUMMYFUNCTION("""COMPUTED_VALUE"""),"13ba2434-3f15-4a6c-8fb2-971d4edbc878")</f>
        <v>13ba2434-3f15-4a6c-8fb2-971d4edbc878</v>
      </c>
      <c r="B120" s="3" t="str">
        <f>IFERROR(__xludf.DUMMYFUNCTION("""COMPUTED_VALUE"""),"Gdansk")</f>
        <v>Gdansk</v>
      </c>
      <c r="C120" s="4">
        <f>IFERROR(__xludf.DUMMYFUNCTION("""COMPUTED_VALUE"""),45684.0)</f>
        <v>45684</v>
      </c>
      <c r="D120" s="3">
        <f>IFERROR(__xludf.DUMMYFUNCTION("""COMPUTED_VALUE"""),55.0)</f>
        <v>55</v>
      </c>
      <c r="E120" s="3">
        <f>IFERROR(__xludf.DUMMYFUNCTION("""COMPUTED_VALUE"""),168850.0)</f>
        <v>168850</v>
      </c>
      <c r="F120" s="3" t="str">
        <f>IFERROR(__xludf.DUMMYFUNCTION("""COMPUTED_VALUE"""),"PLN")</f>
        <v>PLN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 t="str">
        <f>IFERROR(__xludf.DUMMYFUNCTION("""COMPUTED_VALUE"""),"a9ffd244-5521-4aa2-983d-fcad2b2737b6")</f>
        <v>a9ffd244-5521-4aa2-983d-fcad2b2737b6</v>
      </c>
      <c r="B121" s="3" t="str">
        <f>IFERROR(__xludf.DUMMYFUNCTION("""COMPUTED_VALUE"""),"Gdansk")</f>
        <v>Gdansk</v>
      </c>
      <c r="C121" s="4">
        <f>IFERROR(__xludf.DUMMYFUNCTION("""COMPUTED_VALUE"""),45684.0)</f>
        <v>45684</v>
      </c>
      <c r="D121" s="3">
        <f>IFERROR(__xludf.DUMMYFUNCTION("""COMPUTED_VALUE"""),67.0)</f>
        <v>67</v>
      </c>
      <c r="E121" s="3">
        <f>IFERROR(__xludf.DUMMYFUNCTION("""COMPUTED_VALUE"""),276107.0)</f>
        <v>276107</v>
      </c>
      <c r="F121" s="3" t="str">
        <f>IFERROR(__xludf.DUMMYFUNCTION("""COMPUTED_VALUE"""),"PLN")</f>
        <v>PLN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 t="str">
        <f>IFERROR(__xludf.DUMMYFUNCTION("""COMPUTED_VALUE"""),"044b6a93-0a3b-4d5f-83ce-bf7cd8ff7c64")</f>
        <v>044b6a93-0a3b-4d5f-83ce-bf7cd8ff7c64</v>
      </c>
      <c r="B122" s="3" t="str">
        <f>IFERROR(__xludf.DUMMYFUNCTION("""COMPUTED_VALUE"""),"Gdansk")</f>
        <v>Gdansk</v>
      </c>
      <c r="C122" s="4">
        <f>IFERROR(__xludf.DUMMYFUNCTION("""COMPUTED_VALUE"""),45684.0)</f>
        <v>45684</v>
      </c>
      <c r="D122" s="3">
        <f>IFERROR(__xludf.DUMMYFUNCTION("""COMPUTED_VALUE"""),62.0)</f>
        <v>62</v>
      </c>
      <c r="E122" s="3">
        <f>IFERROR(__xludf.DUMMYFUNCTION("""COMPUTED_VALUE"""),264678.0)</f>
        <v>264678</v>
      </c>
      <c r="F122" s="3" t="str">
        <f>IFERROR(__xludf.DUMMYFUNCTION("""COMPUTED_VALUE"""),"PLN")</f>
        <v>PLN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 t="str">
        <f>IFERROR(__xludf.DUMMYFUNCTION("""COMPUTED_VALUE"""),"d30d4a3e-b049-459b-83ab-b06a35c6415a")</f>
        <v>d30d4a3e-b049-459b-83ab-b06a35c6415a</v>
      </c>
      <c r="B123" s="3" t="str">
        <f>IFERROR(__xludf.DUMMYFUNCTION("""COMPUTED_VALUE"""),"Poznan")</f>
        <v>Poznan</v>
      </c>
      <c r="C123" s="4">
        <f>IFERROR(__xludf.DUMMYFUNCTION("""COMPUTED_VALUE"""),45684.0)</f>
        <v>45684</v>
      </c>
      <c r="D123" s="3">
        <f>IFERROR(__xludf.DUMMYFUNCTION("""COMPUTED_VALUE"""),61.0)</f>
        <v>61</v>
      </c>
      <c r="E123" s="3">
        <f>IFERROR(__xludf.DUMMYFUNCTION("""COMPUTED_VALUE"""),264252.0)</f>
        <v>264252</v>
      </c>
      <c r="F123" s="3" t="str">
        <f>IFERROR(__xludf.DUMMYFUNCTION("""COMPUTED_VALUE"""),"PLN")</f>
        <v>PLN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 t="str">
        <f>IFERROR(__xludf.DUMMYFUNCTION("""COMPUTED_VALUE"""),"f77320db-b7c0-425a-95b2-2cb7a56cf7ee")</f>
        <v>f77320db-b7c0-425a-95b2-2cb7a56cf7ee</v>
      </c>
      <c r="B124" s="3" t="str">
        <f>IFERROR(__xludf.DUMMYFUNCTION("""COMPUTED_VALUE"""),"Poznan")</f>
        <v>Poznan</v>
      </c>
      <c r="C124" s="4">
        <f>IFERROR(__xludf.DUMMYFUNCTION("""COMPUTED_VALUE"""),45684.0)</f>
        <v>45684</v>
      </c>
      <c r="D124" s="3">
        <f>IFERROR(__xludf.DUMMYFUNCTION("""COMPUTED_VALUE"""),70.0)</f>
        <v>70</v>
      </c>
      <c r="E124" s="3">
        <f>IFERROR(__xludf.DUMMYFUNCTION("""COMPUTED_VALUE"""),297360.0)</f>
        <v>297360</v>
      </c>
      <c r="F124" s="3" t="str">
        <f>IFERROR(__xludf.DUMMYFUNCTION("""COMPUTED_VALUE"""),"PLN")</f>
        <v>PLN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 t="str">
        <f>IFERROR(__xludf.DUMMYFUNCTION("""COMPUTED_VALUE"""),"0249f184-5b67-469d-a05e-ab2f7f7af959")</f>
        <v>0249f184-5b67-469d-a05e-ab2f7f7af959</v>
      </c>
      <c r="B125" s="3" t="str">
        <f>IFERROR(__xludf.DUMMYFUNCTION("""COMPUTED_VALUE"""),"Krakow")</f>
        <v>Krakow</v>
      </c>
      <c r="C125" s="4">
        <f>IFERROR(__xludf.DUMMYFUNCTION("""COMPUTED_VALUE"""),45684.0)</f>
        <v>45684</v>
      </c>
      <c r="D125" s="3">
        <f>IFERROR(__xludf.DUMMYFUNCTION("""COMPUTED_VALUE"""),69.0)</f>
        <v>69</v>
      </c>
      <c r="E125" s="3">
        <f>IFERROR(__xludf.DUMMYFUNCTION("""COMPUTED_VALUE"""),303807.0)</f>
        <v>303807</v>
      </c>
      <c r="F125" s="3" t="str">
        <f>IFERROR(__xludf.DUMMYFUNCTION("""COMPUTED_VALUE"""),"PLN")</f>
        <v>PLN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 t="str">
        <f>IFERROR(__xludf.DUMMYFUNCTION("""COMPUTED_VALUE"""),"1b881084-5659-4d8b-b86f-c0d89c8819d6")</f>
        <v>1b881084-5659-4d8b-b86f-c0d89c8819d6</v>
      </c>
      <c r="B126" s="3" t="str">
        <f>IFERROR(__xludf.DUMMYFUNCTION("""COMPUTED_VALUE"""),"Gdansk")</f>
        <v>Gdansk</v>
      </c>
      <c r="C126" s="4">
        <f>IFERROR(__xludf.DUMMYFUNCTION("""COMPUTED_VALUE"""),45684.0)</f>
        <v>45684</v>
      </c>
      <c r="D126" s="3">
        <f>IFERROR(__xludf.DUMMYFUNCTION("""COMPUTED_VALUE"""),55.0)</f>
        <v>55</v>
      </c>
      <c r="E126" s="3">
        <f>IFERROR(__xludf.DUMMYFUNCTION("""COMPUTED_VALUE"""),202730.0)</f>
        <v>202730</v>
      </c>
      <c r="F126" s="3" t="str">
        <f>IFERROR(__xludf.DUMMYFUNCTION("""COMPUTED_VALUE"""),"PLN")</f>
        <v>PLN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 t="str">
        <f>IFERROR(__xludf.DUMMYFUNCTION("""COMPUTED_VALUE"""),"654fa1a8-0ae8-43fd-8d4d-d9a20c3695b7")</f>
        <v>654fa1a8-0ae8-43fd-8d4d-d9a20c3695b7</v>
      </c>
      <c r="B127" s="3" t="str">
        <f>IFERROR(__xludf.DUMMYFUNCTION("""COMPUTED_VALUE"""),"Wroclaw")</f>
        <v>Wroclaw</v>
      </c>
      <c r="C127" s="4">
        <f>IFERROR(__xludf.DUMMYFUNCTION("""COMPUTED_VALUE"""),45684.0)</f>
        <v>45684</v>
      </c>
      <c r="D127" s="3">
        <f>IFERROR(__xludf.DUMMYFUNCTION("""COMPUTED_VALUE"""),52.0)</f>
        <v>52</v>
      </c>
      <c r="E127" s="3">
        <f>IFERROR(__xludf.DUMMYFUNCTION("""COMPUTED_VALUE"""),177580.0)</f>
        <v>177580</v>
      </c>
      <c r="F127" s="3" t="str">
        <f>IFERROR(__xludf.DUMMYFUNCTION("""COMPUTED_VALUE"""),"PLN")</f>
        <v>PLN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 t="str">
        <f>IFERROR(__xludf.DUMMYFUNCTION("""COMPUTED_VALUE"""),"cccc860e-279d-4a31-84e2-57f1b5171017")</f>
        <v>cccc860e-279d-4a31-84e2-57f1b5171017</v>
      </c>
      <c r="B128" s="3" t="str">
        <f>IFERROR(__xludf.DUMMYFUNCTION("""COMPUTED_VALUE"""),"Lodz")</f>
        <v>Lodz</v>
      </c>
      <c r="C128" s="4">
        <f>IFERROR(__xludf.DUMMYFUNCTION("""COMPUTED_VALUE"""),45684.0)</f>
        <v>45684</v>
      </c>
      <c r="D128" s="3">
        <f>IFERROR(__xludf.DUMMYFUNCTION("""COMPUTED_VALUE"""),59.0)</f>
        <v>59</v>
      </c>
      <c r="E128" s="3">
        <f>IFERROR(__xludf.DUMMYFUNCTION("""COMPUTED_VALUE"""),215232.0)</f>
        <v>215232</v>
      </c>
      <c r="F128" s="3" t="str">
        <f>IFERROR(__xludf.DUMMYFUNCTION("""COMPUTED_VALUE"""),"PLN")</f>
        <v>PLN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 t="str">
        <f>IFERROR(__xludf.DUMMYFUNCTION("""COMPUTED_VALUE"""),"96f0ec72-4a0e-4ecf-8ac1-9b525db89657")</f>
        <v>96f0ec72-4a0e-4ecf-8ac1-9b525db89657</v>
      </c>
      <c r="B129" s="3" t="str">
        <f>IFERROR(__xludf.DUMMYFUNCTION("""COMPUTED_VALUE"""),"Krakow")</f>
        <v>Krakow</v>
      </c>
      <c r="C129" s="4">
        <f>IFERROR(__xludf.DUMMYFUNCTION("""COMPUTED_VALUE"""),45684.0)</f>
        <v>45684</v>
      </c>
      <c r="D129" s="3">
        <f>IFERROR(__xludf.DUMMYFUNCTION("""COMPUTED_VALUE"""),55.0)</f>
        <v>55</v>
      </c>
      <c r="E129" s="3">
        <f>IFERROR(__xludf.DUMMYFUNCTION("""COMPUTED_VALUE"""),177100.0)</f>
        <v>177100</v>
      </c>
      <c r="F129" s="3" t="str">
        <f>IFERROR(__xludf.DUMMYFUNCTION("""COMPUTED_VALUE"""),"PLN")</f>
        <v>PLN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 t="str">
        <f>IFERROR(__xludf.DUMMYFUNCTION("""COMPUTED_VALUE"""),"b7cfebfd-ad3b-4c7c-9ab9-99e0f8c4444d")</f>
        <v>b7cfebfd-ad3b-4c7c-9ab9-99e0f8c4444d</v>
      </c>
      <c r="B130" s="3" t="str">
        <f>IFERROR(__xludf.DUMMYFUNCTION("""COMPUTED_VALUE"""),"Warsaw")</f>
        <v>Warsaw</v>
      </c>
      <c r="C130" s="4">
        <f>IFERROR(__xludf.DUMMYFUNCTION("""COMPUTED_VALUE"""),45684.0)</f>
        <v>45684</v>
      </c>
      <c r="D130" s="3">
        <f>IFERROR(__xludf.DUMMYFUNCTION("""COMPUTED_VALUE"""),54.0)</f>
        <v>54</v>
      </c>
      <c r="E130" s="3">
        <f>IFERROR(__xludf.DUMMYFUNCTION("""COMPUTED_VALUE"""),170154.0)</f>
        <v>170154</v>
      </c>
      <c r="F130" s="3" t="str">
        <f>IFERROR(__xludf.DUMMYFUNCTION("""COMPUTED_VALUE"""),"PLN")</f>
        <v>PLN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 t="str">
        <f>IFERROR(__xludf.DUMMYFUNCTION("""COMPUTED_VALUE"""),"d781564c-61ae-4ed2-99d4-765e00b4801e")</f>
        <v>d781564c-61ae-4ed2-99d4-765e00b4801e</v>
      </c>
      <c r="B131" s="3" t="str">
        <f>IFERROR(__xludf.DUMMYFUNCTION("""COMPUTED_VALUE"""),"Krakow")</f>
        <v>Krakow</v>
      </c>
      <c r="C131" s="4">
        <f>IFERROR(__xludf.DUMMYFUNCTION("""COMPUTED_VALUE"""),45684.0)</f>
        <v>45684</v>
      </c>
      <c r="D131" s="3">
        <f>IFERROR(__xludf.DUMMYFUNCTION("""COMPUTED_VALUE"""),52.0)</f>
        <v>52</v>
      </c>
      <c r="E131" s="3">
        <f>IFERROR(__xludf.DUMMYFUNCTION("""COMPUTED_VALUE"""),191672.0)</f>
        <v>191672</v>
      </c>
      <c r="F131" s="3" t="str">
        <f>IFERROR(__xludf.DUMMYFUNCTION("""COMPUTED_VALUE"""),"PLN")</f>
        <v>PLN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 t="str">
        <f>IFERROR(__xludf.DUMMYFUNCTION("""COMPUTED_VALUE"""),"8366c09f-fd56-4a04-946e-3d1fad10d00a")</f>
        <v>8366c09f-fd56-4a04-946e-3d1fad10d00a</v>
      </c>
      <c r="B132" s="3" t="str">
        <f>IFERROR(__xludf.DUMMYFUNCTION("""COMPUTED_VALUE"""),"Lodz")</f>
        <v>Lodz</v>
      </c>
      <c r="C132" s="4">
        <f>IFERROR(__xludf.DUMMYFUNCTION("""COMPUTED_VALUE"""),45684.0)</f>
        <v>45684</v>
      </c>
      <c r="D132" s="3">
        <f>IFERROR(__xludf.DUMMYFUNCTION("""COMPUTED_VALUE"""),51.0)</f>
        <v>51</v>
      </c>
      <c r="E132" s="3">
        <f>IFERROR(__xludf.DUMMYFUNCTION("""COMPUTED_VALUE"""),153306.0)</f>
        <v>153306</v>
      </c>
      <c r="F132" s="3" t="str">
        <f>IFERROR(__xludf.DUMMYFUNCTION("""COMPUTED_VALUE"""),"PLN")</f>
        <v>PLN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 t="str">
        <f>IFERROR(__xludf.DUMMYFUNCTION("""COMPUTED_VALUE"""),"fb3a15c1-d3c3-4f4f-b8ed-2113bd9c4f68")</f>
        <v>fb3a15c1-d3c3-4f4f-b8ed-2113bd9c4f68</v>
      </c>
      <c r="B133" s="3" t="str">
        <f>IFERROR(__xludf.DUMMYFUNCTION("""COMPUTED_VALUE"""),"Warsaw")</f>
        <v>Warsaw</v>
      </c>
      <c r="C133" s="4">
        <f>IFERROR(__xludf.DUMMYFUNCTION("""COMPUTED_VALUE"""),45684.0)</f>
        <v>45684</v>
      </c>
      <c r="D133" s="3">
        <f>IFERROR(__xludf.DUMMYFUNCTION("""COMPUTED_VALUE"""),55.0)</f>
        <v>55</v>
      </c>
      <c r="E133" s="3">
        <f>IFERROR(__xludf.DUMMYFUNCTION("""COMPUTED_VALUE"""),197835.0)</f>
        <v>197835</v>
      </c>
      <c r="F133" s="3" t="str">
        <f>IFERROR(__xludf.DUMMYFUNCTION("""COMPUTED_VALUE"""),"PLN")</f>
        <v>PLN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 t="str">
        <f>IFERROR(__xludf.DUMMYFUNCTION("""COMPUTED_VALUE"""),"0315331f-e6e7-4229-b89c-5c161e90b4c4")</f>
        <v>0315331f-e6e7-4229-b89c-5c161e90b4c4</v>
      </c>
      <c r="B134" s="3" t="str">
        <f>IFERROR(__xludf.DUMMYFUNCTION("""COMPUTED_VALUE"""),"Krakow")</f>
        <v>Krakow</v>
      </c>
      <c r="C134" s="4">
        <f>IFERROR(__xludf.DUMMYFUNCTION("""COMPUTED_VALUE"""),45684.0)</f>
        <v>45684</v>
      </c>
      <c r="D134" s="3">
        <f>IFERROR(__xludf.DUMMYFUNCTION("""COMPUTED_VALUE"""),58.0)</f>
        <v>58</v>
      </c>
      <c r="E134" s="3">
        <f>IFERROR(__xludf.DUMMYFUNCTION("""COMPUTED_VALUE"""),182990.0)</f>
        <v>182990</v>
      </c>
      <c r="F134" s="3" t="str">
        <f>IFERROR(__xludf.DUMMYFUNCTION("""COMPUTED_VALUE"""),"PLN")</f>
        <v>PLN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 t="str">
        <f>IFERROR(__xludf.DUMMYFUNCTION("""COMPUTED_VALUE"""),"e45cfd06-5301-4af4-858d-54ca4de59f79")</f>
        <v>e45cfd06-5301-4af4-858d-54ca4de59f79</v>
      </c>
      <c r="B135" s="3" t="str">
        <f>IFERROR(__xludf.DUMMYFUNCTION("""COMPUTED_VALUE"""),"Gdansk")</f>
        <v>Gdansk</v>
      </c>
      <c r="C135" s="4">
        <f>IFERROR(__xludf.DUMMYFUNCTION("""COMPUTED_VALUE"""),45684.0)</f>
        <v>45684</v>
      </c>
      <c r="D135" s="3">
        <f>IFERROR(__xludf.DUMMYFUNCTION("""COMPUTED_VALUE"""),54.0)</f>
        <v>54</v>
      </c>
      <c r="E135" s="3">
        <f>IFERROR(__xludf.DUMMYFUNCTION("""COMPUTED_VALUE"""),206712.0)</f>
        <v>206712</v>
      </c>
      <c r="F135" s="3" t="str">
        <f>IFERROR(__xludf.DUMMYFUNCTION("""COMPUTED_VALUE"""),"PLN")</f>
        <v>PLN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 t="str">
        <f>IFERROR(__xludf.DUMMYFUNCTION("""COMPUTED_VALUE"""),"6a10af0e-e274-406a-ad5e-a931989b2e20")</f>
        <v>6a10af0e-e274-406a-ad5e-a931989b2e20</v>
      </c>
      <c r="B136" s="3" t="str">
        <f>IFERROR(__xludf.DUMMYFUNCTION("""COMPUTED_VALUE"""),"Warsaw")</f>
        <v>Warsaw</v>
      </c>
      <c r="C136" s="4">
        <f>IFERROR(__xludf.DUMMYFUNCTION("""COMPUTED_VALUE"""),45684.0)</f>
        <v>45684</v>
      </c>
      <c r="D136" s="3">
        <f>IFERROR(__xludf.DUMMYFUNCTION("""COMPUTED_VALUE"""),60.0)</f>
        <v>60</v>
      </c>
      <c r="E136" s="3">
        <f>IFERROR(__xludf.DUMMYFUNCTION("""COMPUTED_VALUE"""),221400.0)</f>
        <v>221400</v>
      </c>
      <c r="F136" s="3" t="str">
        <f>IFERROR(__xludf.DUMMYFUNCTION("""COMPUTED_VALUE"""),"PLN")</f>
        <v>PLN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 t="str">
        <f>IFERROR(__xludf.DUMMYFUNCTION("""COMPUTED_VALUE"""),"96451d57-9d2d-4009-8d98-8a81709aaab3")</f>
        <v>96451d57-9d2d-4009-8d98-8a81709aaab3</v>
      </c>
      <c r="B137" s="3" t="str">
        <f>IFERROR(__xludf.DUMMYFUNCTION("""COMPUTED_VALUE"""),"Gdansk")</f>
        <v>Gdansk</v>
      </c>
      <c r="C137" s="4">
        <f>IFERROR(__xludf.DUMMYFUNCTION("""COMPUTED_VALUE"""),45684.0)</f>
        <v>45684</v>
      </c>
      <c r="D137" s="3">
        <f>IFERROR(__xludf.DUMMYFUNCTION("""COMPUTED_VALUE"""),62.0)</f>
        <v>62</v>
      </c>
      <c r="E137" s="3">
        <f>IFERROR(__xludf.DUMMYFUNCTION("""COMPUTED_VALUE"""),271994.0)</f>
        <v>271994</v>
      </c>
      <c r="F137" s="3" t="str">
        <f>IFERROR(__xludf.DUMMYFUNCTION("""COMPUTED_VALUE"""),"PLN")</f>
        <v>PLN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 t="str">
        <f>IFERROR(__xludf.DUMMYFUNCTION("""COMPUTED_VALUE"""),"81e70951-e499-4508-8ee2-5bad59e72ded")</f>
        <v>81e70951-e499-4508-8ee2-5bad59e72ded</v>
      </c>
      <c r="B138" s="3" t="str">
        <f>IFERROR(__xludf.DUMMYFUNCTION("""COMPUTED_VALUE"""),"Poznan")</f>
        <v>Poznan</v>
      </c>
      <c r="C138" s="4">
        <f>IFERROR(__xludf.DUMMYFUNCTION("""COMPUTED_VALUE"""),45684.0)</f>
        <v>45684</v>
      </c>
      <c r="D138" s="3">
        <f>IFERROR(__xludf.DUMMYFUNCTION("""COMPUTED_VALUE"""),53.0)</f>
        <v>53</v>
      </c>
      <c r="E138" s="3">
        <f>IFERROR(__xludf.DUMMYFUNCTION("""COMPUTED_VALUE"""),188521.0)</f>
        <v>188521</v>
      </c>
      <c r="F138" s="3" t="str">
        <f>IFERROR(__xludf.DUMMYFUNCTION("""COMPUTED_VALUE"""),"PLN")</f>
        <v>PLN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 t="str">
        <f>IFERROR(__xludf.DUMMYFUNCTION("""COMPUTED_VALUE"""),"1e18b6a6-eec1-4f4c-8ad7-e13b496ad43e")</f>
        <v>1e18b6a6-eec1-4f4c-8ad7-e13b496ad43e</v>
      </c>
      <c r="B139" s="3" t="str">
        <f>IFERROR(__xludf.DUMMYFUNCTION("""COMPUTED_VALUE"""),"Warsaw")</f>
        <v>Warsaw</v>
      </c>
      <c r="C139" s="4">
        <f>IFERROR(__xludf.DUMMYFUNCTION("""COMPUTED_VALUE"""),45684.0)</f>
        <v>45684</v>
      </c>
      <c r="D139" s="3">
        <f>IFERROR(__xludf.DUMMYFUNCTION("""COMPUTED_VALUE"""),52.0)</f>
        <v>52</v>
      </c>
      <c r="E139" s="3">
        <f>IFERROR(__xludf.DUMMYFUNCTION("""COMPUTED_VALUE"""),175240.0)</f>
        <v>175240</v>
      </c>
      <c r="F139" s="3" t="str">
        <f>IFERROR(__xludf.DUMMYFUNCTION("""COMPUTED_VALUE"""),"PLN")</f>
        <v>PLN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 t="str">
        <f>IFERROR(__xludf.DUMMYFUNCTION("""COMPUTED_VALUE"""),"d894e29d-c9ec-43fc-94ce-f6b4d1b81294")</f>
        <v>d894e29d-c9ec-43fc-94ce-f6b4d1b81294</v>
      </c>
      <c r="B140" s="3" t="str">
        <f>IFERROR(__xludf.DUMMYFUNCTION("""COMPUTED_VALUE"""),"Wroclaw")</f>
        <v>Wroclaw</v>
      </c>
      <c r="C140" s="4">
        <f>IFERROR(__xludf.DUMMYFUNCTION("""COMPUTED_VALUE"""),45684.0)</f>
        <v>45684</v>
      </c>
      <c r="D140" s="3">
        <f>IFERROR(__xludf.DUMMYFUNCTION("""COMPUTED_VALUE"""),68.0)</f>
        <v>68</v>
      </c>
      <c r="E140" s="3">
        <f>IFERROR(__xludf.DUMMYFUNCTION("""COMPUTED_VALUE"""),272340.0)</f>
        <v>272340</v>
      </c>
      <c r="F140" s="3" t="str">
        <f>IFERROR(__xludf.DUMMYFUNCTION("""COMPUTED_VALUE"""),"PLN")</f>
        <v>PLN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 t="str">
        <f>IFERROR(__xludf.DUMMYFUNCTION("""COMPUTED_VALUE"""),"28634f6f-3c44-4e8c-b450-08c0bd9c8d00")</f>
        <v>28634f6f-3c44-4e8c-b450-08c0bd9c8d00</v>
      </c>
      <c r="B141" s="3" t="str">
        <f>IFERROR(__xludf.DUMMYFUNCTION("""COMPUTED_VALUE"""),"Lodz")</f>
        <v>Lodz</v>
      </c>
      <c r="C141" s="4">
        <f>IFERROR(__xludf.DUMMYFUNCTION("""COMPUTED_VALUE"""),45684.0)</f>
        <v>45684</v>
      </c>
      <c r="D141" s="3">
        <f>IFERROR(__xludf.DUMMYFUNCTION("""COMPUTED_VALUE"""),52.0)</f>
        <v>52</v>
      </c>
      <c r="E141" s="3">
        <f>IFERROR(__xludf.DUMMYFUNCTION("""COMPUTED_VALUE"""),161200.0)</f>
        <v>161200</v>
      </c>
      <c r="F141" s="3" t="str">
        <f>IFERROR(__xludf.DUMMYFUNCTION("""COMPUTED_VALUE"""),"PLN")</f>
        <v>PLN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 t="str">
        <f>IFERROR(__xludf.DUMMYFUNCTION("""COMPUTED_VALUE"""),"f12cb33a-d952-4c35-9f50-797eba8f7156")</f>
        <v>f12cb33a-d952-4c35-9f50-797eba8f7156</v>
      </c>
      <c r="B142" s="3" t="str">
        <f>IFERROR(__xludf.DUMMYFUNCTION("""COMPUTED_VALUE"""),"Gdansk")</f>
        <v>Gdansk</v>
      </c>
      <c r="C142" s="4">
        <f>IFERROR(__xludf.DUMMYFUNCTION("""COMPUTED_VALUE"""),45684.0)</f>
        <v>45684</v>
      </c>
      <c r="D142" s="3">
        <f>IFERROR(__xludf.DUMMYFUNCTION("""COMPUTED_VALUE"""),67.0)</f>
        <v>67</v>
      </c>
      <c r="E142" s="3">
        <f>IFERROR(__xludf.DUMMYFUNCTION("""COMPUTED_VALUE"""),297681.0)</f>
        <v>297681</v>
      </c>
      <c r="F142" s="3" t="str">
        <f>IFERROR(__xludf.DUMMYFUNCTION("""COMPUTED_VALUE"""),"PLN")</f>
        <v>PLN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 t="str">
        <f>IFERROR(__xludf.DUMMYFUNCTION("""COMPUTED_VALUE"""),"4d7d2a11-c989-48e9-845c-047aa194bb70")</f>
        <v>4d7d2a11-c989-48e9-845c-047aa194bb70</v>
      </c>
      <c r="B143" s="3" t="str">
        <f>IFERROR(__xludf.DUMMYFUNCTION("""COMPUTED_VALUE"""),"Lodz")</f>
        <v>Lodz</v>
      </c>
      <c r="C143" s="4">
        <f>IFERROR(__xludf.DUMMYFUNCTION("""COMPUTED_VALUE"""),45684.0)</f>
        <v>45684</v>
      </c>
      <c r="D143" s="3">
        <f>IFERROR(__xludf.DUMMYFUNCTION("""COMPUTED_VALUE"""),58.0)</f>
        <v>58</v>
      </c>
      <c r="E143" s="3">
        <f>IFERROR(__xludf.DUMMYFUNCTION("""COMPUTED_VALUE"""),201898.0)</f>
        <v>201898</v>
      </c>
      <c r="F143" s="3" t="str">
        <f>IFERROR(__xludf.DUMMYFUNCTION("""COMPUTED_VALUE"""),"PLN")</f>
        <v>PLN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 t="str">
        <f>IFERROR(__xludf.DUMMYFUNCTION("""COMPUTED_VALUE"""),"bf35d089-db01-4cf9-9472-9693659275fe")</f>
        <v>bf35d089-db01-4cf9-9472-9693659275fe</v>
      </c>
      <c r="B144" s="3" t="str">
        <f>IFERROR(__xludf.DUMMYFUNCTION("""COMPUTED_VALUE"""),"Gdansk")</f>
        <v>Gdansk</v>
      </c>
      <c r="C144" s="4">
        <f>IFERROR(__xludf.DUMMYFUNCTION("""COMPUTED_VALUE"""),45684.0)</f>
        <v>45684</v>
      </c>
      <c r="D144" s="3">
        <f>IFERROR(__xludf.DUMMYFUNCTION("""COMPUTED_VALUE"""),65.0)</f>
        <v>65</v>
      </c>
      <c r="E144" s="3">
        <f>IFERROR(__xludf.DUMMYFUNCTION("""COMPUTED_VALUE"""),262210.0)</f>
        <v>262210</v>
      </c>
      <c r="F144" s="3" t="str">
        <f>IFERROR(__xludf.DUMMYFUNCTION("""COMPUTED_VALUE"""),"PLN")</f>
        <v>PLN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 t="str">
        <f>IFERROR(__xludf.DUMMYFUNCTION("""COMPUTED_VALUE"""),"1d799b9a-ca5a-465f-a58e-bd95d6ee3af3")</f>
        <v>1d799b9a-ca5a-465f-a58e-bd95d6ee3af3</v>
      </c>
      <c r="B145" s="3" t="str">
        <f>IFERROR(__xludf.DUMMYFUNCTION("""COMPUTED_VALUE"""),"Lodz")</f>
        <v>Lodz</v>
      </c>
      <c r="C145" s="4">
        <f>IFERROR(__xludf.DUMMYFUNCTION("""COMPUTED_VALUE"""),45684.0)</f>
        <v>45684</v>
      </c>
      <c r="D145" s="3">
        <f>IFERROR(__xludf.DUMMYFUNCTION("""COMPUTED_VALUE"""),52.0)</f>
        <v>52</v>
      </c>
      <c r="E145" s="3">
        <f>IFERROR(__xludf.DUMMYFUNCTION("""COMPUTED_VALUE"""),192608.0)</f>
        <v>192608</v>
      </c>
      <c r="F145" s="3" t="str">
        <f>IFERROR(__xludf.DUMMYFUNCTION("""COMPUTED_VALUE"""),"PLN")</f>
        <v>PLN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 t="str">
        <f>IFERROR(__xludf.DUMMYFUNCTION("""COMPUTED_VALUE"""),"2f1a65e0-1ba2-4e7d-8215-3eeaf6cbd01d")</f>
        <v>2f1a65e0-1ba2-4e7d-8215-3eeaf6cbd01d</v>
      </c>
      <c r="B146" s="3" t="str">
        <f>IFERROR(__xludf.DUMMYFUNCTION("""COMPUTED_VALUE"""),"Gdansk")</f>
        <v>Gdansk</v>
      </c>
      <c r="C146" s="4">
        <f>IFERROR(__xludf.DUMMYFUNCTION("""COMPUTED_VALUE"""),45684.0)</f>
        <v>45684</v>
      </c>
      <c r="D146" s="3">
        <f>IFERROR(__xludf.DUMMYFUNCTION("""COMPUTED_VALUE"""),60.0)</f>
        <v>60</v>
      </c>
      <c r="E146" s="3">
        <f>IFERROR(__xludf.DUMMYFUNCTION("""COMPUTED_VALUE"""),201840.0)</f>
        <v>201840</v>
      </c>
      <c r="F146" s="3" t="str">
        <f>IFERROR(__xludf.DUMMYFUNCTION("""COMPUTED_VALUE"""),"PLN")</f>
        <v>PLN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 t="str">
        <f>IFERROR(__xludf.DUMMYFUNCTION("""COMPUTED_VALUE"""),"03568fa1-9357-405b-8fa9-cc136f9b5391")</f>
        <v>03568fa1-9357-405b-8fa9-cc136f9b5391</v>
      </c>
      <c r="B147" s="3" t="str">
        <f>IFERROR(__xludf.DUMMYFUNCTION("""COMPUTED_VALUE"""),"Warsaw")</f>
        <v>Warsaw</v>
      </c>
      <c r="C147" s="4">
        <f>IFERROR(__xludf.DUMMYFUNCTION("""COMPUTED_VALUE"""),45684.0)</f>
        <v>45684</v>
      </c>
      <c r="D147" s="3">
        <f>IFERROR(__xludf.DUMMYFUNCTION("""COMPUTED_VALUE"""),55.0)</f>
        <v>55</v>
      </c>
      <c r="E147" s="3">
        <f>IFERROR(__xludf.DUMMYFUNCTION("""COMPUTED_VALUE"""),184305.0)</f>
        <v>184305</v>
      </c>
      <c r="F147" s="3" t="str">
        <f>IFERROR(__xludf.DUMMYFUNCTION("""COMPUTED_VALUE"""),"PLN")</f>
        <v>PLN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 t="str">
        <f>IFERROR(__xludf.DUMMYFUNCTION("""COMPUTED_VALUE"""),"31fba148-bcab-41cd-a2a0-423901e3df55")</f>
        <v>31fba148-bcab-41cd-a2a0-423901e3df55</v>
      </c>
      <c r="B148" s="3" t="str">
        <f>IFERROR(__xludf.DUMMYFUNCTION("""COMPUTED_VALUE"""),"Wroclaw")</f>
        <v>Wroclaw</v>
      </c>
      <c r="C148" s="4">
        <f>IFERROR(__xludf.DUMMYFUNCTION("""COMPUTED_VALUE"""),45684.0)</f>
        <v>45684</v>
      </c>
      <c r="D148" s="3">
        <f>IFERROR(__xludf.DUMMYFUNCTION("""COMPUTED_VALUE"""),56.0)</f>
        <v>56</v>
      </c>
      <c r="E148" s="3">
        <f>IFERROR(__xludf.DUMMYFUNCTION("""COMPUTED_VALUE"""),209440.0)</f>
        <v>209440</v>
      </c>
      <c r="F148" s="3" t="str">
        <f>IFERROR(__xludf.DUMMYFUNCTION("""COMPUTED_VALUE"""),"PLN")</f>
        <v>PLN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 t="str">
        <f>IFERROR(__xludf.DUMMYFUNCTION("""COMPUTED_VALUE"""),"ea61dfb7-87a9-4262-b371-ca8d1350b9c2")</f>
        <v>ea61dfb7-87a9-4262-b371-ca8d1350b9c2</v>
      </c>
      <c r="B149" s="3" t="str">
        <f>IFERROR(__xludf.DUMMYFUNCTION("""COMPUTED_VALUE"""),"Manchester")</f>
        <v>Manchester</v>
      </c>
      <c r="C149" s="4">
        <f>IFERROR(__xludf.DUMMYFUNCTION("""COMPUTED_VALUE"""),45663.0)</f>
        <v>45663</v>
      </c>
      <c r="D149" s="3">
        <f>IFERROR(__xludf.DUMMYFUNCTION("""COMPUTED_VALUE"""),67.0)</f>
        <v>67</v>
      </c>
      <c r="E149" s="3">
        <f>IFERROR(__xludf.DUMMYFUNCTION("""COMPUTED_VALUE"""),66062.0)</f>
        <v>66062</v>
      </c>
      <c r="F149" s="3" t="str">
        <f>IFERROR(__xludf.DUMMYFUNCTION("""COMPUTED_VALUE"""),"GBP")</f>
        <v>GBP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 t="str">
        <f>IFERROR(__xludf.DUMMYFUNCTION("""COMPUTED_VALUE"""),"46ae29a2-b974-4bcb-8d78-36515dc02fd5")</f>
        <v>46ae29a2-b974-4bcb-8d78-36515dc02fd5</v>
      </c>
      <c r="B150" s="3" t="str">
        <f>IFERROR(__xludf.DUMMYFUNCTION("""COMPUTED_VALUE"""),"Birmingham")</f>
        <v>Birmingham</v>
      </c>
      <c r="C150" s="4">
        <f>IFERROR(__xludf.DUMMYFUNCTION("""COMPUTED_VALUE"""),45663.0)</f>
        <v>45663</v>
      </c>
      <c r="D150" s="3">
        <f>IFERROR(__xludf.DUMMYFUNCTION("""COMPUTED_VALUE"""),65.0)</f>
        <v>65</v>
      </c>
      <c r="E150" s="3">
        <f>IFERROR(__xludf.DUMMYFUNCTION("""COMPUTED_VALUE"""),59735.0)</f>
        <v>59735</v>
      </c>
      <c r="F150" s="3" t="str">
        <f>IFERROR(__xludf.DUMMYFUNCTION("""COMPUTED_VALUE"""),"GBP")</f>
        <v>GBP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 t="str">
        <f>IFERROR(__xludf.DUMMYFUNCTION("""COMPUTED_VALUE"""),"13819e8f-dbb4-4298-97c4-83a579556785")</f>
        <v>13819e8f-dbb4-4298-97c4-83a579556785</v>
      </c>
      <c r="B151" s="3" t="str">
        <f>IFERROR(__xludf.DUMMYFUNCTION("""COMPUTED_VALUE"""),"Liverpool")</f>
        <v>Liverpool</v>
      </c>
      <c r="C151" s="4">
        <f>IFERROR(__xludf.DUMMYFUNCTION("""COMPUTED_VALUE"""),45663.0)</f>
        <v>45663</v>
      </c>
      <c r="D151" s="3">
        <f>IFERROR(__xludf.DUMMYFUNCTION("""COMPUTED_VALUE"""),58.0)</f>
        <v>58</v>
      </c>
      <c r="E151" s="3">
        <f>IFERROR(__xludf.DUMMYFUNCTION("""COMPUTED_VALUE"""),49300.0)</f>
        <v>49300</v>
      </c>
      <c r="F151" s="3" t="str">
        <f>IFERROR(__xludf.DUMMYFUNCTION("""COMPUTED_VALUE"""),"GBP")</f>
        <v>GBP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 t="str">
        <f>IFERROR(__xludf.DUMMYFUNCTION("""COMPUTED_VALUE"""),"35a82793-084f-493d-a34a-54ff271d735a")</f>
        <v>35a82793-084f-493d-a34a-54ff271d735a</v>
      </c>
      <c r="B152" s="3" t="str">
        <f>IFERROR(__xludf.DUMMYFUNCTION("""COMPUTED_VALUE"""),"Bristol")</f>
        <v>Bristol</v>
      </c>
      <c r="C152" s="4">
        <f>IFERROR(__xludf.DUMMYFUNCTION("""COMPUTED_VALUE"""),45663.0)</f>
        <v>45663</v>
      </c>
      <c r="D152" s="3">
        <f>IFERROR(__xludf.DUMMYFUNCTION("""COMPUTED_VALUE"""),64.0)</f>
        <v>64</v>
      </c>
      <c r="E152" s="3">
        <f>IFERROR(__xludf.DUMMYFUNCTION("""COMPUTED_VALUE"""),65920.0)</f>
        <v>65920</v>
      </c>
      <c r="F152" s="3" t="str">
        <f>IFERROR(__xludf.DUMMYFUNCTION("""COMPUTED_VALUE"""),"GBP")</f>
        <v>GBP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 t="str">
        <f>IFERROR(__xludf.DUMMYFUNCTION("""COMPUTED_VALUE"""),"6d9944c9-8b73-43d2-ac94-c140233634bs")</f>
        <v>6d9944c9-8b73-43d2-ac94-c140233634bs</v>
      </c>
      <c r="B153" s="3" t="str">
        <f>IFERROR(__xludf.DUMMYFUNCTION("""COMPUTED_VALUE"""),"Bristol")</f>
        <v>Bristol</v>
      </c>
      <c r="C153" s="4">
        <f>IFERROR(__xludf.DUMMYFUNCTION("""COMPUTED_VALUE"""),45663.0)</f>
        <v>45663</v>
      </c>
      <c r="D153" s="3">
        <f>IFERROR(__xludf.DUMMYFUNCTION("""COMPUTED_VALUE"""),56.0)</f>
        <v>56</v>
      </c>
      <c r="E153" s="3">
        <f>IFERROR(__xludf.DUMMYFUNCTION("""COMPUTED_VALUE"""),47768.0)</f>
        <v>47768</v>
      </c>
      <c r="F153" s="3" t="str">
        <f>IFERROR(__xludf.DUMMYFUNCTION("""COMPUTED_VALUE"""),"GBP")</f>
        <v>GBP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 t="str">
        <f>IFERROR(__xludf.DUMMYFUNCTION("""COMPUTED_VALUE"""),"1ae178b9-5a92-4ce6-9cd2-0536ac786ff6")</f>
        <v>1ae178b9-5a92-4ce6-9cd2-0536ac786ff6</v>
      </c>
      <c r="B154" s="3" t="str">
        <f>IFERROR(__xludf.DUMMYFUNCTION("""COMPUTED_VALUE"""),"Bristol")</f>
        <v>Bristol</v>
      </c>
      <c r="C154" s="4">
        <f>IFERROR(__xludf.DUMMYFUNCTION("""COMPUTED_VALUE"""),45663.0)</f>
        <v>45663</v>
      </c>
      <c r="D154" s="3">
        <f>IFERROR(__xludf.DUMMYFUNCTION("""COMPUTED_VALUE"""),63.0)</f>
        <v>63</v>
      </c>
      <c r="E154" s="3">
        <f>IFERROR(__xludf.DUMMYFUNCTION("""COMPUTED_VALUE"""),59976.0)</f>
        <v>59976</v>
      </c>
      <c r="F154" s="3" t="str">
        <f>IFERROR(__xludf.DUMMYFUNCTION("""COMPUTED_VALUE"""),"GBP")</f>
        <v>GBP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 t="str">
        <f>IFERROR(__xludf.DUMMYFUNCTION("""COMPUTED_VALUE"""),"2079f9db-0707-4c61-b9b4-03e904a904ff")</f>
        <v>2079f9db-0707-4c61-b9b4-03e904a904ff</v>
      </c>
      <c r="B155" s="3" t="str">
        <f>IFERROR(__xludf.DUMMYFUNCTION("""COMPUTED_VALUE"""),"Birmingham")</f>
        <v>Birmingham</v>
      </c>
      <c r="C155" s="4">
        <f>IFERROR(__xludf.DUMMYFUNCTION("""COMPUTED_VALUE"""),45663.0)</f>
        <v>45663</v>
      </c>
      <c r="D155" s="3">
        <f>IFERROR(__xludf.DUMMYFUNCTION("""COMPUTED_VALUE"""),59.0)</f>
        <v>59</v>
      </c>
      <c r="E155" s="3">
        <f>IFERROR(__xludf.DUMMYFUNCTION("""COMPUTED_VALUE"""),45135.0)</f>
        <v>45135</v>
      </c>
      <c r="F155" s="3" t="str">
        <f>IFERROR(__xludf.DUMMYFUNCTION("""COMPUTED_VALUE"""),"GBP")</f>
        <v>GBP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 t="str">
        <f>IFERROR(__xludf.DUMMYFUNCTION("""COMPUTED_VALUE"""),"b6fb1384-4414-4bf9-9c28-af52538d5048")</f>
        <v>b6fb1384-4414-4bf9-9c28-af52538d5048</v>
      </c>
      <c r="B156" s="3" t="str">
        <f>IFERROR(__xludf.DUMMYFUNCTION("""COMPUTED_VALUE"""),"Bristol")</f>
        <v>Bristol</v>
      </c>
      <c r="C156" s="4">
        <f>IFERROR(__xludf.DUMMYFUNCTION("""COMPUTED_VALUE"""),45663.0)</f>
        <v>45663</v>
      </c>
      <c r="D156" s="3">
        <f>IFERROR(__xludf.DUMMYFUNCTION("""COMPUTED_VALUE"""),55.0)</f>
        <v>55</v>
      </c>
      <c r="E156" s="3">
        <f>IFERROR(__xludf.DUMMYFUNCTION("""COMPUTED_VALUE"""),43505.0)</f>
        <v>43505</v>
      </c>
      <c r="F156" s="3" t="str">
        <f>IFERROR(__xludf.DUMMYFUNCTION("""COMPUTED_VALUE"""),"GBP")</f>
        <v>GBP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 t="str">
        <f>IFERROR(__xludf.DUMMYFUNCTION("""COMPUTED_VALUE"""),"29c33478-d4dd-4668-abc1-cba3af0aa5e5")</f>
        <v>29c33478-d4dd-4668-abc1-cba3af0aa5e5</v>
      </c>
      <c r="B157" s="3" t="str">
        <f>IFERROR(__xludf.DUMMYFUNCTION("""COMPUTED_VALUE"""),"Birmingham")</f>
        <v>Birmingham</v>
      </c>
      <c r="C157" s="4">
        <f>IFERROR(__xludf.DUMMYFUNCTION("""COMPUTED_VALUE"""),45663.0)</f>
        <v>45663</v>
      </c>
      <c r="D157" s="3">
        <f>IFERROR(__xludf.DUMMYFUNCTION("""COMPUTED_VALUE"""),67.0)</f>
        <v>67</v>
      </c>
      <c r="E157" s="3">
        <f>IFERROR(__xludf.DUMMYFUNCTION("""COMPUTED_VALUE"""),63851.0)</f>
        <v>63851</v>
      </c>
      <c r="F157" s="3" t="str">
        <f>IFERROR(__xludf.DUMMYFUNCTION("""COMPUTED_VALUE"""),"GBP")</f>
        <v>GBP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 t="str">
        <f>IFERROR(__xludf.DUMMYFUNCTION("""COMPUTED_VALUE"""),"2ccdcf54-f9cb-4b2f-b5ac-cd3fb956e33e")</f>
        <v>2ccdcf54-f9cb-4b2f-b5ac-cd3fb956e33e</v>
      </c>
      <c r="B158" s="3" t="str">
        <f>IFERROR(__xludf.DUMMYFUNCTION("""COMPUTED_VALUE"""),"Bristol")</f>
        <v>Bristol</v>
      </c>
      <c r="C158" s="4">
        <f>IFERROR(__xludf.DUMMYFUNCTION("""COMPUTED_VALUE"""),45663.0)</f>
        <v>45663</v>
      </c>
      <c r="D158" s="3">
        <f>IFERROR(__xludf.DUMMYFUNCTION("""COMPUTED_VALUE"""),57.0)</f>
        <v>57</v>
      </c>
      <c r="E158" s="3">
        <f>IFERROR(__xludf.DUMMYFUNCTION("""COMPUTED_VALUE"""),48393.0)</f>
        <v>48393</v>
      </c>
      <c r="F158" s="3" t="str">
        <f>IFERROR(__xludf.DUMMYFUNCTION("""COMPUTED_VALUE"""),"GBP")</f>
        <v>GBP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 t="str">
        <f>IFERROR(__xludf.DUMMYFUNCTION("""COMPUTED_VALUE"""),"c1dcd5c1-7dc0-4c3d-89f3-110318f0c8f5")</f>
        <v>c1dcd5c1-7dc0-4c3d-89f3-110318f0c8f5</v>
      </c>
      <c r="B159" s="3" t="str">
        <f>IFERROR(__xludf.DUMMYFUNCTION("""COMPUTED_VALUE"""),"Liverpool")</f>
        <v>Liverpool</v>
      </c>
      <c r="C159" s="4">
        <f>IFERROR(__xludf.DUMMYFUNCTION("""COMPUTED_VALUE"""),45663.0)</f>
        <v>45663</v>
      </c>
      <c r="D159" s="3">
        <f>IFERROR(__xludf.DUMMYFUNCTION("""COMPUTED_VALUE"""),52.0)</f>
        <v>52</v>
      </c>
      <c r="E159" s="3">
        <f>IFERROR(__xludf.DUMMYFUNCTION("""COMPUTED_VALUE"""),39572.0)</f>
        <v>39572</v>
      </c>
      <c r="F159" s="3" t="str">
        <f>IFERROR(__xludf.DUMMYFUNCTION("""COMPUTED_VALUE"""),"GBP")</f>
        <v>GBP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 t="str">
        <f>IFERROR(__xludf.DUMMYFUNCTION("""COMPUTED_VALUE"""),"6974dec2-98aa-48f0-bc9d-6d71254ff71w")</f>
        <v>6974dec2-98aa-48f0-bc9d-6d71254ff71w</v>
      </c>
      <c r="B160" s="3" t="str">
        <f>IFERROR(__xludf.DUMMYFUNCTION("""COMPUTED_VALUE"""),"Nottingham")</f>
        <v>Nottingham</v>
      </c>
      <c r="C160" s="4">
        <f>IFERROR(__xludf.DUMMYFUNCTION("""COMPUTED_VALUE"""),45663.0)</f>
        <v>45663</v>
      </c>
      <c r="D160" s="3">
        <f>IFERROR(__xludf.DUMMYFUNCTION("""COMPUTED_VALUE"""),69.0)</f>
        <v>69</v>
      </c>
      <c r="E160" s="3">
        <f>IFERROR(__xludf.DUMMYFUNCTION("""COMPUTED_VALUE"""),68241.0)</f>
        <v>68241</v>
      </c>
      <c r="F160" s="3" t="str">
        <f>IFERROR(__xludf.DUMMYFUNCTION("""COMPUTED_VALUE"""),"GBP")</f>
        <v>GBP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 t="str">
        <f>IFERROR(__xludf.DUMMYFUNCTION("""COMPUTED_VALUE"""),"0a6400a9-1eea-420c-903f-50825d0969c8")</f>
        <v>0a6400a9-1eea-420c-903f-50825d0969c8</v>
      </c>
      <c r="B161" s="3" t="str">
        <f>IFERROR(__xludf.DUMMYFUNCTION("""COMPUTED_VALUE"""),"Nottingham")</f>
        <v>Nottingham</v>
      </c>
      <c r="C161" s="4">
        <f>IFERROR(__xludf.DUMMYFUNCTION("""COMPUTED_VALUE"""),45663.0)</f>
        <v>45663</v>
      </c>
      <c r="D161" s="3">
        <f>IFERROR(__xludf.DUMMYFUNCTION("""COMPUTED_VALUE"""),64.0)</f>
        <v>64</v>
      </c>
      <c r="E161" s="3">
        <f>IFERROR(__xludf.DUMMYFUNCTION("""COMPUTED_VALUE"""),64064.0)</f>
        <v>64064</v>
      </c>
      <c r="F161" s="3" t="str">
        <f>IFERROR(__xludf.DUMMYFUNCTION("""COMPUTED_VALUE"""),"GBP")</f>
        <v>GBP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 t="str">
        <f>IFERROR(__xludf.DUMMYFUNCTION("""COMPUTED_VALUE"""),"3c76d045-69b4-4abc-88be-5f08785d98e1")</f>
        <v>3c76d045-69b4-4abc-88be-5f08785d98e1</v>
      </c>
      <c r="B162" s="3" t="str">
        <f>IFERROR(__xludf.DUMMYFUNCTION("""COMPUTED_VALUE"""),"Bristol")</f>
        <v>Bristol</v>
      </c>
      <c r="C162" s="4">
        <f>IFERROR(__xludf.DUMMYFUNCTION("""COMPUTED_VALUE"""),45663.0)</f>
        <v>45663</v>
      </c>
      <c r="D162" s="3">
        <f>IFERROR(__xludf.DUMMYFUNCTION("""COMPUTED_VALUE"""),54.0)</f>
        <v>54</v>
      </c>
      <c r="E162" s="3">
        <f>IFERROR(__xludf.DUMMYFUNCTION("""COMPUTED_VALUE"""),45468.0)</f>
        <v>45468</v>
      </c>
      <c r="F162" s="3" t="str">
        <f>IFERROR(__xludf.DUMMYFUNCTION("""COMPUTED_VALUE"""),"GBP")</f>
        <v>GBP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 t="str">
        <f>IFERROR(__xludf.DUMMYFUNCTION("""COMPUTED_VALUE"""),"b3aa4a39-8c7d-480e-951a-df805c211e4u")</f>
        <v>b3aa4a39-8c7d-480e-951a-df805c211e4u</v>
      </c>
      <c r="B163" s="3" t="str">
        <f>IFERROR(__xludf.DUMMYFUNCTION("""COMPUTED_VALUE"""),"Nottingham")</f>
        <v>Nottingham</v>
      </c>
      <c r="C163" s="4">
        <f>IFERROR(__xludf.DUMMYFUNCTION("""COMPUTED_VALUE"""),45663.0)</f>
        <v>45663</v>
      </c>
      <c r="D163" s="3">
        <f>IFERROR(__xludf.DUMMYFUNCTION("""COMPUTED_VALUE"""),53.0)</f>
        <v>53</v>
      </c>
      <c r="E163" s="3">
        <f>IFERROR(__xludf.DUMMYFUNCTION("""COMPUTED_VALUE"""),44467.0)</f>
        <v>44467</v>
      </c>
      <c r="F163" s="3" t="str">
        <f>IFERROR(__xludf.DUMMYFUNCTION("""COMPUTED_VALUE"""),"GBP")</f>
        <v>GBP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 t="str">
        <f>IFERROR(__xludf.DUMMYFUNCTION("""COMPUTED_VALUE"""),"c4c3e6c0-e880-4432-a618-444c9a453526")</f>
        <v>c4c3e6c0-e880-4432-a618-444c9a453526</v>
      </c>
      <c r="B164" s="3" t="str">
        <f>IFERROR(__xludf.DUMMYFUNCTION("""COMPUTED_VALUE"""),"Nottingham")</f>
        <v>Nottingham</v>
      </c>
      <c r="C164" s="4">
        <f>IFERROR(__xludf.DUMMYFUNCTION("""COMPUTED_VALUE"""),45663.0)</f>
        <v>45663</v>
      </c>
      <c r="D164" s="3">
        <f>IFERROR(__xludf.DUMMYFUNCTION("""COMPUTED_VALUE"""),62.0)</f>
        <v>62</v>
      </c>
      <c r="E164" s="3">
        <f>IFERROR(__xludf.DUMMYFUNCTION("""COMPUTED_VALUE"""),63984.0)</f>
        <v>63984</v>
      </c>
      <c r="F164" s="3" t="str">
        <f>IFERROR(__xludf.DUMMYFUNCTION("""COMPUTED_VALUE"""),"GBP")</f>
        <v>GBP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 t="str">
        <f>IFERROR(__xludf.DUMMYFUNCTION("""COMPUTED_VALUE"""),"72c6cab0-6331-4be2-b221-d958049c0bc3")</f>
        <v>72c6cab0-6331-4be2-b221-d958049c0bc3</v>
      </c>
      <c r="B165" s="3" t="str">
        <f>IFERROR(__xludf.DUMMYFUNCTION("""COMPUTED_VALUE"""),"London")</f>
        <v>London</v>
      </c>
      <c r="C165" s="4">
        <f>IFERROR(__xludf.DUMMYFUNCTION("""COMPUTED_VALUE"""),45663.0)</f>
        <v>45663</v>
      </c>
      <c r="D165" s="3">
        <f>IFERROR(__xludf.DUMMYFUNCTION("""COMPUTED_VALUE"""),55.0)</f>
        <v>55</v>
      </c>
      <c r="E165" s="3">
        <f>IFERROR(__xludf.DUMMYFUNCTION("""COMPUTED_VALUE"""),42735.0)</f>
        <v>42735</v>
      </c>
      <c r="F165" s="3" t="str">
        <f>IFERROR(__xludf.DUMMYFUNCTION("""COMPUTED_VALUE"""),"GBP")</f>
        <v>GBP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 t="str">
        <f>IFERROR(__xludf.DUMMYFUNCTION("""COMPUTED_VALUE"""),"eb0bd060-3e80-4760-a7c8-f406e63b21eg")</f>
        <v>eb0bd060-3e80-4760-a7c8-f406e63b21eg</v>
      </c>
      <c r="B166" s="3" t="str">
        <f>IFERROR(__xludf.DUMMYFUNCTION("""COMPUTED_VALUE"""),"Liverpool")</f>
        <v>Liverpool</v>
      </c>
      <c r="C166" s="4">
        <f>IFERROR(__xludf.DUMMYFUNCTION("""COMPUTED_VALUE"""),45663.0)</f>
        <v>45663</v>
      </c>
      <c r="D166" s="3">
        <f>IFERROR(__xludf.DUMMYFUNCTION("""COMPUTED_VALUE"""),53.0)</f>
        <v>53</v>
      </c>
      <c r="E166" s="3">
        <f>IFERROR(__xludf.DUMMYFUNCTION("""COMPUTED_VALUE"""),41976.0)</f>
        <v>41976</v>
      </c>
      <c r="F166" s="3" t="str">
        <f>IFERROR(__xludf.DUMMYFUNCTION("""COMPUTED_VALUE"""),"GBP")</f>
        <v>GBP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 t="str">
        <f>IFERROR(__xludf.DUMMYFUNCTION("""COMPUTED_VALUE"""),"50044743-5d1e-4272-a3f2-8907033f0f59")</f>
        <v>50044743-5d1e-4272-a3f2-8907033f0f59</v>
      </c>
      <c r="B167" s="3" t="str">
        <f>IFERROR(__xludf.DUMMYFUNCTION("""COMPUTED_VALUE"""),"Birmingham")</f>
        <v>Birmingham</v>
      </c>
      <c r="C167" s="4">
        <f>IFERROR(__xludf.DUMMYFUNCTION("""COMPUTED_VALUE"""),45663.0)</f>
        <v>45663</v>
      </c>
      <c r="D167" s="3">
        <f>IFERROR(__xludf.DUMMYFUNCTION("""COMPUTED_VALUE"""),57.0)</f>
        <v>57</v>
      </c>
      <c r="E167" s="3">
        <f>IFERROR(__xludf.DUMMYFUNCTION("""COMPUTED_VALUE"""),43035.0)</f>
        <v>43035</v>
      </c>
      <c r="F167" s="3" t="str">
        <f>IFERROR(__xludf.DUMMYFUNCTION("""COMPUTED_VALUE"""),"GBP")</f>
        <v>GBP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 t="str">
        <f>IFERROR(__xludf.DUMMYFUNCTION("""COMPUTED_VALUE"""),"34051478-ed34-4deb-bc6f-4577a222ae44")</f>
        <v>34051478-ed34-4deb-bc6f-4577a222ae44</v>
      </c>
      <c r="B168" s="3" t="str">
        <f>IFERROR(__xludf.DUMMYFUNCTION("""COMPUTED_VALUE"""),"Manchester")</f>
        <v>Manchester</v>
      </c>
      <c r="C168" s="4">
        <f>IFERROR(__xludf.DUMMYFUNCTION("""COMPUTED_VALUE"""),45663.0)</f>
        <v>45663</v>
      </c>
      <c r="D168" s="3">
        <f>IFERROR(__xludf.DUMMYFUNCTION("""COMPUTED_VALUE"""),59.0)</f>
        <v>59</v>
      </c>
      <c r="E168" s="3">
        <f>IFERROR(__xludf.DUMMYFUNCTION("""COMPUTED_VALUE"""),47908.0)</f>
        <v>47908</v>
      </c>
      <c r="F168" s="3" t="str">
        <f>IFERROR(__xludf.DUMMYFUNCTION("""COMPUTED_VALUE"""),"GBP")</f>
        <v>GBP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 t="str">
        <f>IFERROR(__xludf.DUMMYFUNCTION("""COMPUTED_VALUE"""),"f35328c9-1081-47cd-b50f-e16acd3c85bj")</f>
        <v>f35328c9-1081-47cd-b50f-e16acd3c85bj</v>
      </c>
      <c r="B169" s="3" t="str">
        <f>IFERROR(__xludf.DUMMYFUNCTION("""COMPUTED_VALUE"""),"Bristol")</f>
        <v>Bristol</v>
      </c>
      <c r="C169" s="4">
        <f>IFERROR(__xludf.DUMMYFUNCTION("""COMPUTED_VALUE"""),45663.0)</f>
        <v>45663</v>
      </c>
      <c r="D169" s="3">
        <f>IFERROR(__xludf.DUMMYFUNCTION("""COMPUTED_VALUE"""),53.0)</f>
        <v>53</v>
      </c>
      <c r="E169" s="3">
        <f>IFERROR(__xludf.DUMMYFUNCTION("""COMPUTED_VALUE"""),42983.0)</f>
        <v>42983</v>
      </c>
      <c r="F169" s="3" t="str">
        <f>IFERROR(__xludf.DUMMYFUNCTION("""COMPUTED_VALUE"""),"GBP")</f>
        <v>GBP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 t="str">
        <f>IFERROR(__xludf.DUMMYFUNCTION("""COMPUTED_VALUE"""),"61b5e379-18f0-4751-8442-eb1726fd90d5")</f>
        <v>61b5e379-18f0-4751-8442-eb1726fd90d5</v>
      </c>
      <c r="B170" s="3" t="str">
        <f>IFERROR(__xludf.DUMMYFUNCTION("""COMPUTED_VALUE"""),"Nottingham")</f>
        <v>Nottingham</v>
      </c>
      <c r="C170" s="4">
        <f>IFERROR(__xludf.DUMMYFUNCTION("""COMPUTED_VALUE"""),45663.0)</f>
        <v>45663</v>
      </c>
      <c r="D170" s="3">
        <f>IFERROR(__xludf.DUMMYFUNCTION("""COMPUTED_VALUE"""),53.0)</f>
        <v>53</v>
      </c>
      <c r="E170" s="3">
        <f>IFERROR(__xludf.DUMMYFUNCTION("""COMPUTED_VALUE"""),47700.0)</f>
        <v>47700</v>
      </c>
      <c r="F170" s="3" t="str">
        <f>IFERROR(__xludf.DUMMYFUNCTION("""COMPUTED_VALUE"""),"GBP")</f>
        <v>GBP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 t="str">
        <f>IFERROR(__xludf.DUMMYFUNCTION("""COMPUTED_VALUE"""),"538a5ca2-c53b-47b4-b8da-2c8ec1c9507t")</f>
        <v>538a5ca2-c53b-47b4-b8da-2c8ec1c9507t</v>
      </c>
      <c r="B171" s="3" t="str">
        <f>IFERROR(__xludf.DUMMYFUNCTION("""COMPUTED_VALUE"""),"Nottingham")</f>
        <v>Nottingham</v>
      </c>
      <c r="C171" s="4">
        <f>IFERROR(__xludf.DUMMYFUNCTION("""COMPUTED_VALUE"""),45663.0)</f>
        <v>45663</v>
      </c>
      <c r="D171" s="3">
        <f>IFERROR(__xludf.DUMMYFUNCTION("""COMPUTED_VALUE"""),65.0)</f>
        <v>65</v>
      </c>
      <c r="E171" s="3">
        <f>IFERROR(__xludf.DUMMYFUNCTION("""COMPUTED_VALUE"""),65520.0)</f>
        <v>65520</v>
      </c>
      <c r="F171" s="3" t="str">
        <f>IFERROR(__xludf.DUMMYFUNCTION("""COMPUTED_VALUE"""),"GBP")</f>
        <v>GBP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 t="str">
        <f>IFERROR(__xludf.DUMMYFUNCTION("""COMPUTED_VALUE"""),"206820bd-e993-4d07-895b-2846b19df2f7")</f>
        <v>206820bd-e993-4d07-895b-2846b19df2f7</v>
      </c>
      <c r="B172" s="3" t="str">
        <f>IFERROR(__xludf.DUMMYFUNCTION("""COMPUTED_VALUE"""),"Birmingham")</f>
        <v>Birmingham</v>
      </c>
      <c r="C172" s="4">
        <f>IFERROR(__xludf.DUMMYFUNCTION("""COMPUTED_VALUE"""),45663.0)</f>
        <v>45663</v>
      </c>
      <c r="D172" s="3">
        <f>IFERROR(__xludf.DUMMYFUNCTION("""COMPUTED_VALUE"""),70.0)</f>
        <v>70</v>
      </c>
      <c r="E172" s="3">
        <f>IFERROR(__xludf.DUMMYFUNCTION("""COMPUTED_VALUE"""),67270.0)</f>
        <v>67270</v>
      </c>
      <c r="F172" s="3" t="str">
        <f>IFERROR(__xludf.DUMMYFUNCTION("""COMPUTED_VALUE"""),"GBP")</f>
        <v>GBP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 t="str">
        <f>IFERROR(__xludf.DUMMYFUNCTION("""COMPUTED_VALUE"""),"854ff8a4-34aa-4ec0-9672-7bb66e1bb90p")</f>
        <v>854ff8a4-34aa-4ec0-9672-7bb66e1bb90p</v>
      </c>
      <c r="B173" s="3" t="str">
        <f>IFERROR(__xludf.DUMMYFUNCTION("""COMPUTED_VALUE"""),"London")</f>
        <v>London</v>
      </c>
      <c r="C173" s="4">
        <f>IFERROR(__xludf.DUMMYFUNCTION("""COMPUTED_VALUE"""),45663.0)</f>
        <v>45663</v>
      </c>
      <c r="D173" s="3">
        <f>IFERROR(__xludf.DUMMYFUNCTION("""COMPUTED_VALUE"""),69.0)</f>
        <v>69</v>
      </c>
      <c r="E173" s="3">
        <f>IFERROR(__xludf.DUMMYFUNCTION("""COMPUTED_VALUE"""),74382.0)</f>
        <v>74382</v>
      </c>
      <c r="F173" s="3" t="str">
        <f>IFERROR(__xludf.DUMMYFUNCTION("""COMPUTED_VALUE"""),"GBP")</f>
        <v>GBP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 t="str">
        <f>IFERROR(__xludf.DUMMYFUNCTION("""COMPUTED_VALUE"""),"fe832000-15ce-471f-a1b1-449f3c280fe3")</f>
        <v>fe832000-15ce-471f-a1b1-449f3c280fe3</v>
      </c>
      <c r="B174" s="3" t="str">
        <f>IFERROR(__xludf.DUMMYFUNCTION("""COMPUTED_VALUE"""),"Liverpool")</f>
        <v>Liverpool</v>
      </c>
      <c r="C174" s="4">
        <f>IFERROR(__xludf.DUMMYFUNCTION("""COMPUTED_VALUE"""),45663.0)</f>
        <v>45663</v>
      </c>
      <c r="D174" s="3">
        <f>IFERROR(__xludf.DUMMYFUNCTION("""COMPUTED_VALUE"""),65.0)</f>
        <v>65</v>
      </c>
      <c r="E174" s="3">
        <f>IFERROR(__xludf.DUMMYFUNCTION("""COMPUTED_VALUE"""),65195.0)</f>
        <v>65195</v>
      </c>
      <c r="F174" s="3" t="str">
        <f>IFERROR(__xludf.DUMMYFUNCTION("""COMPUTED_VALUE"""),"GBP")</f>
        <v>GBP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 t="str">
        <f>IFERROR(__xludf.DUMMYFUNCTION("""COMPUTED_VALUE"""),"a043c0b7-294c-4997-b488-520126daac26")</f>
        <v>a043c0b7-294c-4997-b488-520126daac26</v>
      </c>
      <c r="B175" s="3" t="str">
        <f>IFERROR(__xludf.DUMMYFUNCTION("""COMPUTED_VALUE"""),"Liverpool")</f>
        <v>Liverpool</v>
      </c>
      <c r="C175" s="4">
        <f>IFERROR(__xludf.DUMMYFUNCTION("""COMPUTED_VALUE"""),45663.0)</f>
        <v>45663</v>
      </c>
      <c r="D175" s="3">
        <f>IFERROR(__xludf.DUMMYFUNCTION("""COMPUTED_VALUE"""),64.0)</f>
        <v>64</v>
      </c>
      <c r="E175" s="3">
        <f>IFERROR(__xludf.DUMMYFUNCTION("""COMPUTED_VALUE"""),63936.0)</f>
        <v>63936</v>
      </c>
      <c r="F175" s="3" t="str">
        <f>IFERROR(__xludf.DUMMYFUNCTION("""COMPUTED_VALUE"""),"GBP")</f>
        <v>GBP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 t="str">
        <f>IFERROR(__xludf.DUMMYFUNCTION("""COMPUTED_VALUE"""),"436b5a18-871b-4f5c-8378-02bc71c62ae8")</f>
        <v>436b5a18-871b-4f5c-8378-02bc71c62ae8</v>
      </c>
      <c r="B176" s="3" t="str">
        <f>IFERROR(__xludf.DUMMYFUNCTION("""COMPUTED_VALUE"""),"Liverpool")</f>
        <v>Liverpool</v>
      </c>
      <c r="C176" s="4">
        <f>IFERROR(__xludf.DUMMYFUNCTION("""COMPUTED_VALUE"""),45663.0)</f>
        <v>45663</v>
      </c>
      <c r="D176" s="3">
        <f>IFERROR(__xludf.DUMMYFUNCTION("""COMPUTED_VALUE"""),60.0)</f>
        <v>60</v>
      </c>
      <c r="E176" s="3">
        <f>IFERROR(__xludf.DUMMYFUNCTION("""COMPUTED_VALUE"""),47280.0)</f>
        <v>47280</v>
      </c>
      <c r="F176" s="3" t="str">
        <f>IFERROR(__xludf.DUMMYFUNCTION("""COMPUTED_VALUE"""),"GBP")</f>
        <v>GBP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 t="str">
        <f>IFERROR(__xludf.DUMMYFUNCTION("""COMPUTED_VALUE"""),"ea61dfb7-87a9-4262-b371-ca8d1350b9c2")</f>
        <v>ea61dfb7-87a9-4262-b371-ca8d1350b9c2</v>
      </c>
      <c r="B177" s="3" t="str">
        <f>IFERROR(__xludf.DUMMYFUNCTION("""COMPUTED_VALUE"""),"Manchester")</f>
        <v>Manchester</v>
      </c>
      <c r="C177" s="4">
        <f>IFERROR(__xludf.DUMMYFUNCTION("""COMPUTED_VALUE"""),45670.0)</f>
        <v>45670</v>
      </c>
      <c r="D177" s="3">
        <f>IFERROR(__xludf.DUMMYFUNCTION("""COMPUTED_VALUE"""),66.0)</f>
        <v>66</v>
      </c>
      <c r="E177" s="3">
        <f>IFERROR(__xludf.DUMMYFUNCTION("""COMPUTED_VALUE"""),60456.0)</f>
        <v>60456</v>
      </c>
      <c r="F177" s="3" t="str">
        <f>IFERROR(__xludf.DUMMYFUNCTION("""COMPUTED_VALUE"""),"GBP")</f>
        <v>GBP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 t="str">
        <f>IFERROR(__xludf.DUMMYFUNCTION("""COMPUTED_VALUE"""),"fb93fc87-48c0-4a6d-83c6-654a6efe173a")</f>
        <v>fb93fc87-48c0-4a6d-83c6-654a6efe173a</v>
      </c>
      <c r="B178" s="3" t="str">
        <f>IFERROR(__xludf.DUMMYFUNCTION("""COMPUTED_VALUE"""),"Liverpool")</f>
        <v>Liverpool</v>
      </c>
      <c r="C178" s="4">
        <f>IFERROR(__xludf.DUMMYFUNCTION("""COMPUTED_VALUE"""),45670.0)</f>
        <v>45670</v>
      </c>
      <c r="D178" s="3">
        <f>IFERROR(__xludf.DUMMYFUNCTION("""COMPUTED_VALUE"""),54.0)</f>
        <v>54</v>
      </c>
      <c r="E178" s="3">
        <f>IFERROR(__xludf.DUMMYFUNCTION("""COMPUTED_VALUE"""),38826.0)</f>
        <v>38826</v>
      </c>
      <c r="F178" s="3" t="str">
        <f>IFERROR(__xludf.DUMMYFUNCTION("""COMPUTED_VALUE"""),"GBP")</f>
        <v>GBP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 t="str">
        <f>IFERROR(__xludf.DUMMYFUNCTION("""COMPUTED_VALUE"""),"c3b89ab8-c3dc-4c43-8459-3ea38b817cd8")</f>
        <v>c3b89ab8-c3dc-4c43-8459-3ea38b817cd8</v>
      </c>
      <c r="B179" s="3" t="str">
        <f>IFERROR(__xludf.DUMMYFUNCTION("""COMPUTED_VALUE"""),"Nottingham")</f>
        <v>Nottingham</v>
      </c>
      <c r="C179" s="4">
        <f>IFERROR(__xludf.DUMMYFUNCTION("""COMPUTED_VALUE"""),45670.0)</f>
        <v>45670</v>
      </c>
      <c r="D179" s="3">
        <f>IFERROR(__xludf.DUMMYFUNCTION("""COMPUTED_VALUE"""),52.0)</f>
        <v>52</v>
      </c>
      <c r="E179" s="3">
        <f>IFERROR(__xludf.DUMMYFUNCTION("""COMPUTED_VALUE"""),38844.0)</f>
        <v>38844</v>
      </c>
      <c r="F179" s="3" t="str">
        <f>IFERROR(__xludf.DUMMYFUNCTION("""COMPUTED_VALUE"""),"GBP")</f>
        <v>GBP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 t="str">
        <f>IFERROR(__xludf.DUMMYFUNCTION("""COMPUTED_VALUE"""),"66731b86-79d3-43ff-bb4a-8cab4f55bdb4")</f>
        <v>66731b86-79d3-43ff-bb4a-8cab4f55bdb4</v>
      </c>
      <c r="B180" s="3" t="str">
        <f>IFERROR(__xludf.DUMMYFUNCTION("""COMPUTED_VALUE"""),"Bristol")</f>
        <v>Bristol</v>
      </c>
      <c r="C180" s="4">
        <f>IFERROR(__xludf.DUMMYFUNCTION("""COMPUTED_VALUE"""),45670.0)</f>
        <v>45670</v>
      </c>
      <c r="D180" s="3">
        <f>IFERROR(__xludf.DUMMYFUNCTION("""COMPUTED_VALUE"""),55.0)</f>
        <v>55</v>
      </c>
      <c r="E180" s="3">
        <f>IFERROR(__xludf.DUMMYFUNCTION("""COMPUTED_VALUE"""),47300.0)</f>
        <v>47300</v>
      </c>
      <c r="F180" s="3" t="str">
        <f>IFERROR(__xludf.DUMMYFUNCTION("""COMPUTED_VALUE"""),"GBP")</f>
        <v>GBP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 t="str">
        <f>IFERROR(__xludf.DUMMYFUNCTION("""COMPUTED_VALUE"""),"0c541de3-59fb-4358-bed9-323f180800d8")</f>
        <v>0c541de3-59fb-4358-bed9-323f180800d8</v>
      </c>
      <c r="B181" s="3" t="str">
        <f>IFERROR(__xludf.DUMMYFUNCTION("""COMPUTED_VALUE"""),"Nottingham")</f>
        <v>Nottingham</v>
      </c>
      <c r="C181" s="4">
        <f>IFERROR(__xludf.DUMMYFUNCTION("""COMPUTED_VALUE"""),45670.0)</f>
        <v>45670</v>
      </c>
      <c r="D181" s="3">
        <f>IFERROR(__xludf.DUMMYFUNCTION("""COMPUTED_VALUE"""),66.0)</f>
        <v>66</v>
      </c>
      <c r="E181" s="3">
        <f>IFERROR(__xludf.DUMMYFUNCTION("""COMPUTED_VALUE"""),66132.0)</f>
        <v>66132</v>
      </c>
      <c r="F181" s="3" t="str">
        <f>IFERROR(__xludf.DUMMYFUNCTION("""COMPUTED_VALUE"""),"GBP")</f>
        <v>GBP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 t="str">
        <f>IFERROR(__xludf.DUMMYFUNCTION("""COMPUTED_VALUE"""),"6d9944c9-8b73-43d2-ac94-c140233634bs")</f>
        <v>6d9944c9-8b73-43d2-ac94-c140233634bs</v>
      </c>
      <c r="B182" s="3" t="str">
        <f>IFERROR(__xludf.DUMMYFUNCTION("""COMPUTED_VALUE"""),"Bristol")</f>
        <v>Bristol</v>
      </c>
      <c r="C182" s="4">
        <f>IFERROR(__xludf.DUMMYFUNCTION("""COMPUTED_VALUE"""),45670.0)</f>
        <v>45670</v>
      </c>
      <c r="D182" s="3">
        <f>IFERROR(__xludf.DUMMYFUNCTION("""COMPUTED_VALUE"""),63.0)</f>
        <v>63</v>
      </c>
      <c r="E182" s="3">
        <f>IFERROR(__xludf.DUMMYFUNCTION("""COMPUTED_VALUE"""),63693.0)</f>
        <v>63693</v>
      </c>
      <c r="F182" s="3" t="str">
        <f>IFERROR(__xludf.DUMMYFUNCTION("""COMPUTED_VALUE"""),"GBP")</f>
        <v>GBP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 t="str">
        <f>IFERROR(__xludf.DUMMYFUNCTION("""COMPUTED_VALUE"""),"ae372fb4-0d5b-4afd-bbf9-7a58454d9370")</f>
        <v>ae372fb4-0d5b-4afd-bbf9-7a58454d9370</v>
      </c>
      <c r="B183" s="3" t="str">
        <f>IFERROR(__xludf.DUMMYFUNCTION("""COMPUTED_VALUE"""),"London")</f>
        <v>London</v>
      </c>
      <c r="C183" s="4">
        <f>IFERROR(__xludf.DUMMYFUNCTION("""COMPUTED_VALUE"""),45670.0)</f>
        <v>45670</v>
      </c>
      <c r="D183" s="3">
        <f>IFERROR(__xludf.DUMMYFUNCTION("""COMPUTED_VALUE"""),67.0)</f>
        <v>67</v>
      </c>
      <c r="E183" s="3">
        <f>IFERROR(__xludf.DUMMYFUNCTION("""COMPUTED_VALUE"""),65727.0)</f>
        <v>65727</v>
      </c>
      <c r="F183" s="3" t="str">
        <f>IFERROR(__xludf.DUMMYFUNCTION("""COMPUTED_VALUE"""),"GBP")</f>
        <v>GBP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 t="str">
        <f>IFERROR(__xludf.DUMMYFUNCTION("""COMPUTED_VALUE"""),"1ae178b9-5a92-4ce6-9cd2-0536ac786ff6")</f>
        <v>1ae178b9-5a92-4ce6-9cd2-0536ac786ff6</v>
      </c>
      <c r="B184" s="3" t="str">
        <f>IFERROR(__xludf.DUMMYFUNCTION("""COMPUTED_VALUE"""),"Bristol")</f>
        <v>Bristol</v>
      </c>
      <c r="C184" s="4">
        <f>IFERROR(__xludf.DUMMYFUNCTION("""COMPUTED_VALUE"""),45670.0)</f>
        <v>45670</v>
      </c>
      <c r="D184" s="3">
        <f>IFERROR(__xludf.DUMMYFUNCTION("""COMPUTED_VALUE"""),57.0)</f>
        <v>57</v>
      </c>
      <c r="E184" s="3">
        <f>IFERROR(__xludf.DUMMYFUNCTION("""COMPUTED_VALUE"""),40470.0)</f>
        <v>40470</v>
      </c>
      <c r="F184" s="3" t="str">
        <f>IFERROR(__xludf.DUMMYFUNCTION("""COMPUTED_VALUE"""),"GBP")</f>
        <v>GBP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 t="str">
        <f>IFERROR(__xludf.DUMMYFUNCTION("""COMPUTED_VALUE"""),"288a151f-5c54-4b43-a969-72705bf13715")</f>
        <v>288a151f-5c54-4b43-a969-72705bf13715</v>
      </c>
      <c r="B185" s="3" t="str">
        <f>IFERROR(__xludf.DUMMYFUNCTION("""COMPUTED_VALUE"""),"Nottingham")</f>
        <v>Nottingham</v>
      </c>
      <c r="C185" s="4">
        <f>IFERROR(__xludf.DUMMYFUNCTION("""COMPUTED_VALUE"""),45670.0)</f>
        <v>45670</v>
      </c>
      <c r="D185" s="3">
        <f>IFERROR(__xludf.DUMMYFUNCTION("""COMPUTED_VALUE"""),67.0)</f>
        <v>67</v>
      </c>
      <c r="E185" s="3">
        <f>IFERROR(__xludf.DUMMYFUNCTION("""COMPUTED_VALUE"""),66129.0)</f>
        <v>66129</v>
      </c>
      <c r="F185" s="3" t="str">
        <f>IFERROR(__xludf.DUMMYFUNCTION("""COMPUTED_VALUE"""),"GBP")</f>
        <v>GBP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 t="str">
        <f>IFERROR(__xludf.DUMMYFUNCTION("""COMPUTED_VALUE"""),"165d97f1-2255-462f-9b3b-ef1bdcff2cbg")</f>
        <v>165d97f1-2255-462f-9b3b-ef1bdcff2cbg</v>
      </c>
      <c r="B186" s="3" t="str">
        <f>IFERROR(__xludf.DUMMYFUNCTION("""COMPUTED_VALUE"""),"Bristol")</f>
        <v>Bristol</v>
      </c>
      <c r="C186" s="4">
        <f>IFERROR(__xludf.DUMMYFUNCTION("""COMPUTED_VALUE"""),45670.0)</f>
        <v>45670</v>
      </c>
      <c r="D186" s="3">
        <f>IFERROR(__xludf.DUMMYFUNCTION("""COMPUTED_VALUE"""),63.0)</f>
        <v>63</v>
      </c>
      <c r="E186" s="3">
        <f>IFERROR(__xludf.DUMMYFUNCTION("""COMPUTED_VALUE"""),60669.0)</f>
        <v>60669</v>
      </c>
      <c r="F186" s="3" t="str">
        <f>IFERROR(__xludf.DUMMYFUNCTION("""COMPUTED_VALUE"""),"GBP")</f>
        <v>GBP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 t="str">
        <f>IFERROR(__xludf.DUMMYFUNCTION("""COMPUTED_VALUE"""),"3e5e7448-2215-40db-b103-2ccfcb9f233q")</f>
        <v>3e5e7448-2215-40db-b103-2ccfcb9f233q</v>
      </c>
      <c r="B187" s="3" t="str">
        <f>IFERROR(__xludf.DUMMYFUNCTION("""COMPUTED_VALUE"""),"Manchester")</f>
        <v>Manchester</v>
      </c>
      <c r="C187" s="4">
        <f>IFERROR(__xludf.DUMMYFUNCTION("""COMPUTED_VALUE"""),45670.0)</f>
        <v>45670</v>
      </c>
      <c r="D187" s="3">
        <f>IFERROR(__xludf.DUMMYFUNCTION("""COMPUTED_VALUE"""),52.0)</f>
        <v>52</v>
      </c>
      <c r="E187" s="3">
        <f>IFERROR(__xludf.DUMMYFUNCTION("""COMPUTED_VALUE"""),38324.0)</f>
        <v>38324</v>
      </c>
      <c r="F187" s="3" t="str">
        <f>IFERROR(__xludf.DUMMYFUNCTION("""COMPUTED_VALUE"""),"GBP")</f>
        <v>GBP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 t="str">
        <f>IFERROR(__xludf.DUMMYFUNCTION("""COMPUTED_VALUE"""),"68d13614-8753-4afe-b781-9bb7f629a08k")</f>
        <v>68d13614-8753-4afe-b781-9bb7f629a08k</v>
      </c>
      <c r="B188" s="3" t="str">
        <f>IFERROR(__xludf.DUMMYFUNCTION("""COMPUTED_VALUE"""),"London")</f>
        <v>London</v>
      </c>
      <c r="C188" s="4">
        <f>IFERROR(__xludf.DUMMYFUNCTION("""COMPUTED_VALUE"""),45670.0)</f>
        <v>45670</v>
      </c>
      <c r="D188" s="3">
        <f>IFERROR(__xludf.DUMMYFUNCTION("""COMPUTED_VALUE"""),64.0)</f>
        <v>64</v>
      </c>
      <c r="E188" s="3">
        <f>IFERROR(__xludf.DUMMYFUNCTION("""COMPUTED_VALUE"""),63936.0)</f>
        <v>63936</v>
      </c>
      <c r="F188" s="3" t="str">
        <f>IFERROR(__xludf.DUMMYFUNCTION("""COMPUTED_VALUE"""),"GBP")</f>
        <v>GBP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 t="str">
        <f>IFERROR(__xludf.DUMMYFUNCTION("""COMPUTED_VALUE"""),"22c62867-249a-4f5f-b2a5-1bb97765c3b2")</f>
        <v>22c62867-249a-4f5f-b2a5-1bb97765c3b2</v>
      </c>
      <c r="B189" s="3" t="str">
        <f>IFERROR(__xludf.DUMMYFUNCTION("""COMPUTED_VALUE"""),"Manchester")</f>
        <v>Manchester</v>
      </c>
      <c r="C189" s="4">
        <f>IFERROR(__xludf.DUMMYFUNCTION("""COMPUTED_VALUE"""),45670.0)</f>
        <v>45670</v>
      </c>
      <c r="D189" s="3">
        <f>IFERROR(__xludf.DUMMYFUNCTION("""COMPUTED_VALUE"""),62.0)</f>
        <v>62</v>
      </c>
      <c r="E189" s="3">
        <f>IFERROR(__xludf.DUMMYFUNCTION("""COMPUTED_VALUE"""),61566.0)</f>
        <v>61566</v>
      </c>
      <c r="F189" s="3" t="str">
        <f>IFERROR(__xludf.DUMMYFUNCTION("""COMPUTED_VALUE"""),"GBP")</f>
        <v>GBP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 t="str">
        <f>IFERROR(__xludf.DUMMYFUNCTION("""COMPUTED_VALUE"""),"2d6e61e0-9865-4cdb-b86f-48eacaecf89a")</f>
        <v>2d6e61e0-9865-4cdb-b86f-48eacaecf89a</v>
      </c>
      <c r="B190" s="3" t="str">
        <f>IFERROR(__xludf.DUMMYFUNCTION("""COMPUTED_VALUE"""),"Manchester")</f>
        <v>Manchester</v>
      </c>
      <c r="C190" s="4">
        <f>IFERROR(__xludf.DUMMYFUNCTION("""COMPUTED_VALUE"""),45670.0)</f>
        <v>45670</v>
      </c>
      <c r="D190" s="3">
        <f>IFERROR(__xludf.DUMMYFUNCTION("""COMPUTED_VALUE"""),51.0)</f>
        <v>51</v>
      </c>
      <c r="E190" s="3">
        <f>IFERROR(__xludf.DUMMYFUNCTION("""COMPUTED_VALUE"""),39576.0)</f>
        <v>39576</v>
      </c>
      <c r="F190" s="3" t="str">
        <f>IFERROR(__xludf.DUMMYFUNCTION("""COMPUTED_VALUE"""),"GBP")</f>
        <v>GBP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 t="str">
        <f>IFERROR(__xludf.DUMMYFUNCTION("""COMPUTED_VALUE"""),"b3aa4a39-8c7d-480e-951a-df805c211e4u")</f>
        <v>b3aa4a39-8c7d-480e-951a-df805c211e4u</v>
      </c>
      <c r="B191" s="3" t="str">
        <f>IFERROR(__xludf.DUMMYFUNCTION("""COMPUTED_VALUE"""),"Nottingham")</f>
        <v>Nottingham</v>
      </c>
      <c r="C191" s="4">
        <f>IFERROR(__xludf.DUMMYFUNCTION("""COMPUTED_VALUE"""),45670.0)</f>
        <v>45670</v>
      </c>
      <c r="D191" s="3">
        <f>IFERROR(__xludf.DUMMYFUNCTION("""COMPUTED_VALUE"""),51.0)</f>
        <v>51</v>
      </c>
      <c r="E191" s="3">
        <f>IFERROR(__xludf.DUMMYFUNCTION("""COMPUTED_VALUE"""),42228.0)</f>
        <v>42228</v>
      </c>
      <c r="F191" s="3" t="str">
        <f>IFERROR(__xludf.DUMMYFUNCTION("""COMPUTED_VALUE"""),"GBP")</f>
        <v>GBP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 t="str">
        <f>IFERROR(__xludf.DUMMYFUNCTION("""COMPUTED_VALUE"""),"194474c1-7c19-46f7-8dec-f71591a6965f")</f>
        <v>194474c1-7c19-46f7-8dec-f71591a6965f</v>
      </c>
      <c r="B192" s="3" t="str">
        <f>IFERROR(__xludf.DUMMYFUNCTION("""COMPUTED_VALUE"""),"Birmingham")</f>
        <v>Birmingham</v>
      </c>
      <c r="C192" s="4">
        <f>IFERROR(__xludf.DUMMYFUNCTION("""COMPUTED_VALUE"""),45670.0)</f>
        <v>45670</v>
      </c>
      <c r="D192" s="3">
        <f>IFERROR(__xludf.DUMMYFUNCTION("""COMPUTED_VALUE"""),54.0)</f>
        <v>54</v>
      </c>
      <c r="E192" s="3">
        <f>IFERROR(__xludf.DUMMYFUNCTION("""COMPUTED_VALUE"""),48546.0)</f>
        <v>48546</v>
      </c>
      <c r="F192" s="3" t="str">
        <f>IFERROR(__xludf.DUMMYFUNCTION("""COMPUTED_VALUE"""),"GBP")</f>
        <v>GBP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 t="str">
        <f>IFERROR(__xludf.DUMMYFUNCTION("""COMPUTED_VALUE"""),"6498c12c-5d53-4234-a952-d669f5da80c5")</f>
        <v>6498c12c-5d53-4234-a952-d669f5da80c5</v>
      </c>
      <c r="B193" s="3" t="str">
        <f>IFERROR(__xludf.DUMMYFUNCTION("""COMPUTED_VALUE"""),"London")</f>
        <v>London</v>
      </c>
      <c r="C193" s="4">
        <f>IFERROR(__xludf.DUMMYFUNCTION("""COMPUTED_VALUE"""),45670.0)</f>
        <v>45670</v>
      </c>
      <c r="D193" s="3">
        <f>IFERROR(__xludf.DUMMYFUNCTION("""COMPUTED_VALUE"""),60.0)</f>
        <v>60</v>
      </c>
      <c r="E193" s="3">
        <f>IFERROR(__xludf.DUMMYFUNCTION("""COMPUTED_VALUE"""),49440.0)</f>
        <v>49440</v>
      </c>
      <c r="F193" s="3" t="str">
        <f>IFERROR(__xludf.DUMMYFUNCTION("""COMPUTED_VALUE"""),"GBP")</f>
        <v>GBP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 t="str">
        <f>IFERROR(__xludf.DUMMYFUNCTION("""COMPUTED_VALUE"""),"b2eff025-a03b-462a-bf72-01fb7cc545e9")</f>
        <v>b2eff025-a03b-462a-bf72-01fb7cc545e9</v>
      </c>
      <c r="B194" s="3" t="str">
        <f>IFERROR(__xludf.DUMMYFUNCTION("""COMPUTED_VALUE"""),"Manchester")</f>
        <v>Manchester</v>
      </c>
      <c r="C194" s="4">
        <f>IFERROR(__xludf.DUMMYFUNCTION("""COMPUTED_VALUE"""),45670.0)</f>
        <v>45670</v>
      </c>
      <c r="D194" s="3">
        <f>IFERROR(__xludf.DUMMYFUNCTION("""COMPUTED_VALUE"""),61.0)</f>
        <v>61</v>
      </c>
      <c r="E194" s="3">
        <f>IFERROR(__xludf.DUMMYFUNCTION("""COMPUTED_VALUE"""),58438.0)</f>
        <v>58438</v>
      </c>
      <c r="F194" s="3" t="str">
        <f>IFERROR(__xludf.DUMMYFUNCTION("""COMPUTED_VALUE"""),"GBP")</f>
        <v>GBP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 t="str">
        <f>IFERROR(__xludf.DUMMYFUNCTION("""COMPUTED_VALUE"""),"fad769ad-ca83-4ecd-9789-787625b5ad0g")</f>
        <v>fad769ad-ca83-4ecd-9789-787625b5ad0g</v>
      </c>
      <c r="B195" s="3" t="str">
        <f>IFERROR(__xludf.DUMMYFUNCTION("""COMPUTED_VALUE"""),"Manchester")</f>
        <v>Manchester</v>
      </c>
      <c r="C195" s="4">
        <f>IFERROR(__xludf.DUMMYFUNCTION("""COMPUTED_VALUE"""),45670.0)</f>
        <v>45670</v>
      </c>
      <c r="D195" s="3">
        <f>IFERROR(__xludf.DUMMYFUNCTION("""COMPUTED_VALUE"""),68.0)</f>
        <v>68</v>
      </c>
      <c r="E195" s="3">
        <f>IFERROR(__xludf.DUMMYFUNCTION("""COMPUTED_VALUE"""),70516.0)</f>
        <v>70516</v>
      </c>
      <c r="F195" s="3" t="str">
        <f>IFERROR(__xludf.DUMMYFUNCTION("""COMPUTED_VALUE"""),"GBP")</f>
        <v>GBP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 t="str">
        <f>IFERROR(__xludf.DUMMYFUNCTION("""COMPUTED_VALUE"""),"91df809a-ae78-47aa-a618-f23df1319988")</f>
        <v>91df809a-ae78-47aa-a618-f23df1319988</v>
      </c>
      <c r="B196" s="3" t="str">
        <f>IFERROR(__xludf.DUMMYFUNCTION("""COMPUTED_VALUE"""),"Birmingham")</f>
        <v>Birmingham</v>
      </c>
      <c r="C196" s="4">
        <f>IFERROR(__xludf.DUMMYFUNCTION("""COMPUTED_VALUE"""),45670.0)</f>
        <v>45670</v>
      </c>
      <c r="D196" s="3">
        <f>IFERROR(__xludf.DUMMYFUNCTION("""COMPUTED_VALUE"""),53.0)</f>
        <v>53</v>
      </c>
      <c r="E196" s="3">
        <f>IFERROR(__xludf.DUMMYFUNCTION("""COMPUTED_VALUE"""),46799.0)</f>
        <v>46799</v>
      </c>
      <c r="F196" s="3" t="str">
        <f>IFERROR(__xludf.DUMMYFUNCTION("""COMPUTED_VALUE"""),"GBP")</f>
        <v>GBP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 t="str">
        <f>IFERROR(__xludf.DUMMYFUNCTION("""COMPUTED_VALUE"""),"77135e29-d302-4a0a-835e-3cd7ab4bd7a7")</f>
        <v>77135e29-d302-4a0a-835e-3cd7ab4bd7a7</v>
      </c>
      <c r="B197" s="3" t="str">
        <f>IFERROR(__xludf.DUMMYFUNCTION("""COMPUTED_VALUE"""),"Bristol")</f>
        <v>Bristol</v>
      </c>
      <c r="C197" s="4">
        <f>IFERROR(__xludf.DUMMYFUNCTION("""COMPUTED_VALUE"""),45670.0)</f>
        <v>45670</v>
      </c>
      <c r="D197" s="3">
        <f>IFERROR(__xludf.DUMMYFUNCTION("""COMPUTED_VALUE"""),57.0)</f>
        <v>57</v>
      </c>
      <c r="E197" s="3">
        <f>IFERROR(__xludf.DUMMYFUNCTION("""COMPUTED_VALUE"""),50445.0)</f>
        <v>50445</v>
      </c>
      <c r="F197" s="3" t="str">
        <f>IFERROR(__xludf.DUMMYFUNCTION("""COMPUTED_VALUE"""),"GBP")</f>
        <v>GBP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 t="str">
        <f>IFERROR(__xludf.DUMMYFUNCTION("""COMPUTED_VALUE"""),"906a2dd5-fb83-4a78-a7f0-f4c1f9e21567")</f>
        <v>906a2dd5-fb83-4a78-a7f0-f4c1f9e21567</v>
      </c>
      <c r="B198" s="3" t="str">
        <f>IFERROR(__xludf.DUMMYFUNCTION("""COMPUTED_VALUE"""),"London")</f>
        <v>London</v>
      </c>
      <c r="C198" s="4">
        <f>IFERROR(__xludf.DUMMYFUNCTION("""COMPUTED_VALUE"""),45670.0)</f>
        <v>45670</v>
      </c>
      <c r="D198" s="3">
        <f>IFERROR(__xludf.DUMMYFUNCTION("""COMPUTED_VALUE"""),69.0)</f>
        <v>69</v>
      </c>
      <c r="E198" s="3">
        <f>IFERROR(__xludf.DUMMYFUNCTION("""COMPUTED_VALUE"""),71484.0)</f>
        <v>71484</v>
      </c>
      <c r="F198" s="3" t="str">
        <f>IFERROR(__xludf.DUMMYFUNCTION("""COMPUTED_VALUE"""),"GBP")</f>
        <v>GBP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 t="str">
        <f>IFERROR(__xludf.DUMMYFUNCTION("""COMPUTED_VALUE"""),"59199ee6-f72a-4719-bb4c-d484a9657a6b")</f>
        <v>59199ee6-f72a-4719-bb4c-d484a9657a6b</v>
      </c>
      <c r="B199" s="3" t="str">
        <f>IFERROR(__xludf.DUMMYFUNCTION("""COMPUTED_VALUE"""),"Birmingham")</f>
        <v>Birmingham</v>
      </c>
      <c r="C199" s="4">
        <f>IFERROR(__xludf.DUMMYFUNCTION("""COMPUTED_VALUE"""),45670.0)</f>
        <v>45670</v>
      </c>
      <c r="D199" s="3">
        <f>IFERROR(__xludf.DUMMYFUNCTION("""COMPUTED_VALUE"""),63.0)</f>
        <v>63</v>
      </c>
      <c r="E199" s="3">
        <f>IFERROR(__xludf.DUMMYFUNCTION("""COMPUTED_VALUE"""),63126.0)</f>
        <v>63126</v>
      </c>
      <c r="F199" s="3" t="str">
        <f>IFERROR(__xludf.DUMMYFUNCTION("""COMPUTED_VALUE"""),"GBP")</f>
        <v>GBP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 t="str">
        <f>IFERROR(__xludf.DUMMYFUNCTION("""COMPUTED_VALUE"""),"c3b89ab8-c3dc-4c43-8459-3ea38b817cdd")</f>
        <v>c3b89ab8-c3dc-4c43-8459-3ea38b817cdd</v>
      </c>
      <c r="B200" s="3" t="str">
        <f>IFERROR(__xludf.DUMMYFUNCTION("""COMPUTED_VALUE"""),"Nottingham")</f>
        <v>Nottingham</v>
      </c>
      <c r="C200" s="4">
        <f>IFERROR(__xludf.DUMMYFUNCTION("""COMPUTED_VALUE"""),45677.0)</f>
        <v>45677</v>
      </c>
      <c r="D200" s="3">
        <f>IFERROR(__xludf.DUMMYFUNCTION("""COMPUTED_VALUE"""),61.0)</f>
        <v>61</v>
      </c>
      <c r="E200" s="3">
        <f>IFERROR(__xludf.DUMMYFUNCTION("""COMPUTED_VALUE"""),59536.0)</f>
        <v>59536</v>
      </c>
      <c r="F200" s="3" t="str">
        <f>IFERROR(__xludf.DUMMYFUNCTION("""COMPUTED_VALUE"""),"GBP")</f>
        <v>GBP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 t="str">
        <f>IFERROR(__xludf.DUMMYFUNCTION("""COMPUTED_VALUE"""),"ea61dfb7-87a9-4262-b371-ca8d1350b9c5")</f>
        <v>ea61dfb7-87a9-4262-b371-ca8d1350b9c5</v>
      </c>
      <c r="B201" s="3" t="str">
        <f>IFERROR(__xludf.DUMMYFUNCTION("""COMPUTED_VALUE"""),"Manchester")</f>
        <v>Manchester</v>
      </c>
      <c r="C201" s="4">
        <f>IFERROR(__xludf.DUMMYFUNCTION("""COMPUTED_VALUE"""),45677.0)</f>
        <v>45677</v>
      </c>
      <c r="D201" s="3">
        <f>IFERROR(__xludf.DUMMYFUNCTION("""COMPUTED_VALUE"""),70.0)</f>
        <v>70</v>
      </c>
      <c r="E201" s="3">
        <f>IFERROR(__xludf.DUMMYFUNCTION("""COMPUTED_VALUE"""),65800.0)</f>
        <v>65800</v>
      </c>
      <c r="F201" s="3" t="str">
        <f>IFERROR(__xludf.DUMMYFUNCTION("""COMPUTED_VALUE"""),"GBP")</f>
        <v>GBP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 t="str">
        <f>IFERROR(__xludf.DUMMYFUNCTION("""COMPUTED_VALUE"""),"288a151f-5c54-4b43-a969-72705bf13715")</f>
        <v>288a151f-5c54-4b43-a969-72705bf13715</v>
      </c>
      <c r="B202" s="3" t="str">
        <f>IFERROR(__xludf.DUMMYFUNCTION("""COMPUTED_VALUE"""),"Nottingham")</f>
        <v>Nottingham</v>
      </c>
      <c r="C202" s="4">
        <f>IFERROR(__xludf.DUMMYFUNCTION("""COMPUTED_VALUE"""),45677.0)</f>
        <v>45677</v>
      </c>
      <c r="D202" s="3">
        <f>IFERROR(__xludf.DUMMYFUNCTION("""COMPUTED_VALUE"""),70.0)</f>
        <v>70</v>
      </c>
      <c r="E202" s="3">
        <f>IFERROR(__xludf.DUMMYFUNCTION("""COMPUTED_VALUE"""),64890.0)</f>
        <v>64890</v>
      </c>
      <c r="F202" s="3" t="str">
        <f>IFERROR(__xludf.DUMMYFUNCTION("""COMPUTED_VALUE"""),"GBP")</f>
        <v>GBP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 t="str">
        <f>IFERROR(__xludf.DUMMYFUNCTION("""COMPUTED_VALUE"""),"35a82793-084f-493d-a34a-54ff271d735a")</f>
        <v>35a82793-084f-493d-a34a-54ff271d735a</v>
      </c>
      <c r="B203" s="3" t="str">
        <f>IFERROR(__xludf.DUMMYFUNCTION("""COMPUTED_VALUE"""),"Bristol")</f>
        <v>Bristol</v>
      </c>
      <c r="C203" s="4">
        <f>IFERROR(__xludf.DUMMYFUNCTION("""COMPUTED_VALUE"""),45677.0)</f>
        <v>45677</v>
      </c>
      <c r="D203" s="3">
        <f>IFERROR(__xludf.DUMMYFUNCTION("""COMPUTED_VALUE"""),68.0)</f>
        <v>68</v>
      </c>
      <c r="E203" s="3">
        <f>IFERROR(__xludf.DUMMYFUNCTION("""COMPUTED_VALUE"""),66640.0)</f>
        <v>66640</v>
      </c>
      <c r="F203" s="3" t="str">
        <f>IFERROR(__xludf.DUMMYFUNCTION("""COMPUTED_VALUE"""),"GBP")</f>
        <v>GBP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 t="str">
        <f>IFERROR(__xludf.DUMMYFUNCTION("""COMPUTED_VALUE"""),"6974dec2-98aa-48f0-bc9d-6d71254ff71w")</f>
        <v>6974dec2-98aa-48f0-bc9d-6d71254ff71w</v>
      </c>
      <c r="B204" s="3" t="str">
        <f>IFERROR(__xludf.DUMMYFUNCTION("""COMPUTED_VALUE"""),"Nottingham")</f>
        <v>Nottingham</v>
      </c>
      <c r="C204" s="4">
        <f>IFERROR(__xludf.DUMMYFUNCTION("""COMPUTED_VALUE"""),45677.0)</f>
        <v>45677</v>
      </c>
      <c r="D204" s="3">
        <f>IFERROR(__xludf.DUMMYFUNCTION("""COMPUTED_VALUE"""),62.0)</f>
        <v>62</v>
      </c>
      <c r="E204" s="3">
        <f>IFERROR(__xludf.DUMMYFUNCTION("""COMPUTED_VALUE"""),61938.0)</f>
        <v>61938</v>
      </c>
      <c r="F204" s="3" t="str">
        <f>IFERROR(__xludf.DUMMYFUNCTION("""COMPUTED_VALUE"""),"GBP")</f>
        <v>GBP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 t="str">
        <f>IFERROR(__xludf.DUMMYFUNCTION("""COMPUTED_VALUE"""),"1ae178b9-5a92-4ce6-9cd2-0536ac786ff6")</f>
        <v>1ae178b9-5a92-4ce6-9cd2-0536ac786ff6</v>
      </c>
      <c r="B205" s="3" t="str">
        <f>IFERROR(__xludf.DUMMYFUNCTION("""COMPUTED_VALUE"""),"Bristol")</f>
        <v>Bristol</v>
      </c>
      <c r="C205" s="4">
        <f>IFERROR(__xludf.DUMMYFUNCTION("""COMPUTED_VALUE"""),45677.0)</f>
        <v>45677</v>
      </c>
      <c r="D205" s="3">
        <f>IFERROR(__xludf.DUMMYFUNCTION("""COMPUTED_VALUE"""),63.0)</f>
        <v>63</v>
      </c>
      <c r="E205" s="3">
        <f>IFERROR(__xludf.DUMMYFUNCTION("""COMPUTED_VALUE"""),57960.0)</f>
        <v>57960</v>
      </c>
      <c r="F205" s="3" t="str">
        <f>IFERROR(__xludf.DUMMYFUNCTION("""COMPUTED_VALUE"""),"GBP")</f>
        <v>GBP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 t="str">
        <f>IFERROR(__xludf.DUMMYFUNCTION("""COMPUTED_VALUE"""),"9a68898e-01a1-4d6e-b5fa-0d9617245e60")</f>
        <v>9a68898e-01a1-4d6e-b5fa-0d9617245e60</v>
      </c>
      <c r="B206" s="3" t="str">
        <f>IFERROR(__xludf.DUMMYFUNCTION("""COMPUTED_VALUE"""),"Birmingham")</f>
        <v>Birmingham</v>
      </c>
      <c r="C206" s="4">
        <f>IFERROR(__xludf.DUMMYFUNCTION("""COMPUTED_VALUE"""),45677.0)</f>
        <v>45677</v>
      </c>
      <c r="D206" s="3">
        <f>IFERROR(__xludf.DUMMYFUNCTION("""COMPUTED_VALUE"""),58.0)</f>
        <v>58</v>
      </c>
      <c r="E206" s="3">
        <f>IFERROR(__xludf.DUMMYFUNCTION("""COMPUTED_VALUE"""),40832.0)</f>
        <v>40832</v>
      </c>
      <c r="F206" s="3" t="str">
        <f>IFERROR(__xludf.DUMMYFUNCTION("""COMPUTED_VALUE"""),"GBP")</f>
        <v>GBP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 t="str">
        <f>IFERROR(__xludf.DUMMYFUNCTION("""COMPUTED_VALUE"""),"cc4f6bd7-537c-4981-9809-459049725c06")</f>
        <v>cc4f6bd7-537c-4981-9809-459049725c06</v>
      </c>
      <c r="B207" s="3" t="str">
        <f>IFERROR(__xludf.DUMMYFUNCTION("""COMPUTED_VALUE"""),"London")</f>
        <v>London</v>
      </c>
      <c r="C207" s="4">
        <f>IFERROR(__xludf.DUMMYFUNCTION("""COMPUTED_VALUE"""),45677.0)</f>
        <v>45677</v>
      </c>
      <c r="D207" s="3">
        <f>IFERROR(__xludf.DUMMYFUNCTION("""COMPUTED_VALUE"""),63.0)</f>
        <v>63</v>
      </c>
      <c r="E207" s="3">
        <f>IFERROR(__xludf.DUMMYFUNCTION("""COMPUTED_VALUE"""),60732.0)</f>
        <v>60732</v>
      </c>
      <c r="F207" s="3" t="str">
        <f>IFERROR(__xludf.DUMMYFUNCTION("""COMPUTED_VALUE"""),"GBP")</f>
        <v>GBP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 t="str">
        <f>IFERROR(__xludf.DUMMYFUNCTION("""COMPUTED_VALUE"""),"b3aa4a39-8c7d-480e-951a-df805c211e4u")</f>
        <v>b3aa4a39-8c7d-480e-951a-df805c211e4u</v>
      </c>
      <c r="B208" s="3" t="str">
        <f>IFERROR(__xludf.DUMMYFUNCTION("""COMPUTED_VALUE"""),"Nottingham")</f>
        <v>Nottingham</v>
      </c>
      <c r="C208" s="4">
        <f>IFERROR(__xludf.DUMMYFUNCTION("""COMPUTED_VALUE"""),45677.0)</f>
        <v>45677</v>
      </c>
      <c r="D208" s="3">
        <f>IFERROR(__xludf.DUMMYFUNCTION("""COMPUTED_VALUE"""),53.0)</f>
        <v>53</v>
      </c>
      <c r="E208" s="3">
        <f>IFERROR(__xludf.DUMMYFUNCTION("""COMPUTED_VALUE"""),38425.0)</f>
        <v>38425</v>
      </c>
      <c r="F208" s="3" t="str">
        <f>IFERROR(__xludf.DUMMYFUNCTION("""COMPUTED_VALUE"""),"GBP")</f>
        <v>GBP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 t="str">
        <f>IFERROR(__xludf.DUMMYFUNCTION("""COMPUTED_VALUE"""),"927cbe9e-6c48-4274-8375-1f10c0cb7ad5")</f>
        <v>927cbe9e-6c48-4274-8375-1f10c0cb7ad5</v>
      </c>
      <c r="B209" s="3" t="str">
        <f>IFERROR(__xludf.DUMMYFUNCTION("""COMPUTED_VALUE"""),"Bristol")</f>
        <v>Bristol</v>
      </c>
      <c r="C209" s="4">
        <f>IFERROR(__xludf.DUMMYFUNCTION("""COMPUTED_VALUE"""),45677.0)</f>
        <v>45677</v>
      </c>
      <c r="D209" s="3">
        <f>IFERROR(__xludf.DUMMYFUNCTION("""COMPUTED_VALUE"""),56.0)</f>
        <v>56</v>
      </c>
      <c r="E209" s="3">
        <f>IFERROR(__xludf.DUMMYFUNCTION("""COMPUTED_VALUE"""),39536.0)</f>
        <v>39536</v>
      </c>
      <c r="F209" s="3" t="str">
        <f>IFERROR(__xludf.DUMMYFUNCTION("""COMPUTED_VALUE"""),"GBP")</f>
        <v>GBP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 t="str">
        <f>IFERROR(__xludf.DUMMYFUNCTION("""COMPUTED_VALUE"""),"ca0ab00c-57bf-4a74-a79a-250bc67889b9")</f>
        <v>ca0ab00c-57bf-4a74-a79a-250bc67889b9</v>
      </c>
      <c r="B210" s="3" t="str">
        <f>IFERROR(__xludf.DUMMYFUNCTION("""COMPUTED_VALUE"""),"Birmingham")</f>
        <v>Birmingham</v>
      </c>
      <c r="C210" s="4">
        <f>IFERROR(__xludf.DUMMYFUNCTION("""COMPUTED_VALUE"""),45677.0)</f>
        <v>45677</v>
      </c>
      <c r="D210" s="3">
        <f>IFERROR(__xludf.DUMMYFUNCTION("""COMPUTED_VALUE"""),55.0)</f>
        <v>55</v>
      </c>
      <c r="E210" s="3">
        <f>IFERROR(__xludf.DUMMYFUNCTION("""COMPUTED_VALUE"""),46200.0)</f>
        <v>46200</v>
      </c>
      <c r="F210" s="3" t="str">
        <f>IFERROR(__xludf.DUMMYFUNCTION("""COMPUTED_VALUE"""),"GBP")</f>
        <v>GBP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 t="str">
        <f>IFERROR(__xludf.DUMMYFUNCTION("""COMPUTED_VALUE"""),"b6fdc287-acce-4146-9e28-54a5b2a70ec6")</f>
        <v>b6fdc287-acce-4146-9e28-54a5b2a70ec6</v>
      </c>
      <c r="B211" s="3" t="str">
        <f>IFERROR(__xludf.DUMMYFUNCTION("""COMPUTED_VALUE"""),"Liverpool")</f>
        <v>Liverpool</v>
      </c>
      <c r="C211" s="4">
        <f>IFERROR(__xludf.DUMMYFUNCTION("""COMPUTED_VALUE"""),45677.0)</f>
        <v>45677</v>
      </c>
      <c r="D211" s="3">
        <f>IFERROR(__xludf.DUMMYFUNCTION("""COMPUTED_VALUE"""),69.0)</f>
        <v>69</v>
      </c>
      <c r="E211" s="3">
        <f>IFERROR(__xludf.DUMMYFUNCTION("""COMPUTED_VALUE"""),67965.0)</f>
        <v>67965</v>
      </c>
      <c r="F211" s="3" t="str">
        <f>IFERROR(__xludf.DUMMYFUNCTION("""COMPUTED_VALUE"""),"GBP")</f>
        <v>GBP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 t="str">
        <f>IFERROR(__xludf.DUMMYFUNCTION("""COMPUTED_VALUE"""),"b6fb1384-4414-4bf9-9c28-af52538d5045")</f>
        <v>b6fb1384-4414-4bf9-9c28-af52538d5045</v>
      </c>
      <c r="B212" s="3" t="str">
        <f>IFERROR(__xludf.DUMMYFUNCTION("""COMPUTED_VALUE"""),"Bristol")</f>
        <v>Bristol</v>
      </c>
      <c r="C212" s="4">
        <f>IFERROR(__xludf.DUMMYFUNCTION("""COMPUTED_VALUE"""),45677.0)</f>
        <v>45677</v>
      </c>
      <c r="D212" s="3">
        <f>IFERROR(__xludf.DUMMYFUNCTION("""COMPUTED_VALUE"""),53.0)</f>
        <v>53</v>
      </c>
      <c r="E212" s="3">
        <f>IFERROR(__xludf.DUMMYFUNCTION("""COMPUTED_VALUE"""),47011.0)</f>
        <v>47011</v>
      </c>
      <c r="F212" s="3" t="str">
        <f>IFERROR(__xludf.DUMMYFUNCTION("""COMPUTED_VALUE"""),"GBP")</f>
        <v>GBP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 t="str">
        <f>IFERROR(__xludf.DUMMYFUNCTION("""COMPUTED_VALUE"""),"001dc755-ba87-47ac-8464-47e6c7fb9ed5")</f>
        <v>001dc755-ba87-47ac-8464-47e6c7fb9ed5</v>
      </c>
      <c r="B213" s="3" t="str">
        <f>IFERROR(__xludf.DUMMYFUNCTION("""COMPUTED_VALUE"""),"Manchester")</f>
        <v>Manchester</v>
      </c>
      <c r="C213" s="4">
        <f>IFERROR(__xludf.DUMMYFUNCTION("""COMPUTED_VALUE"""),45677.0)</f>
        <v>45677</v>
      </c>
      <c r="D213" s="3">
        <f>IFERROR(__xludf.DUMMYFUNCTION("""COMPUTED_VALUE"""),65.0)</f>
        <v>65</v>
      </c>
      <c r="E213" s="3">
        <f>IFERROR(__xludf.DUMMYFUNCTION("""COMPUTED_VALUE"""),62660.0)</f>
        <v>62660</v>
      </c>
      <c r="F213" s="3" t="str">
        <f>IFERROR(__xludf.DUMMYFUNCTION("""COMPUTED_VALUE"""),"GBP")</f>
        <v>GBP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 t="str">
        <f>IFERROR(__xludf.DUMMYFUNCTION("""COMPUTED_VALUE"""),"aa6583d6-5de2-4ad9-8472-db89f8696eey")</f>
        <v>aa6583d6-5de2-4ad9-8472-db89f8696eey</v>
      </c>
      <c r="B214" s="3" t="str">
        <f>IFERROR(__xludf.DUMMYFUNCTION("""COMPUTED_VALUE"""),"London")</f>
        <v>London</v>
      </c>
      <c r="C214" s="4">
        <f>IFERROR(__xludf.DUMMYFUNCTION("""COMPUTED_VALUE"""),45677.0)</f>
        <v>45677</v>
      </c>
      <c r="D214" s="3">
        <f>IFERROR(__xludf.DUMMYFUNCTION("""COMPUTED_VALUE"""),66.0)</f>
        <v>66</v>
      </c>
      <c r="E214" s="3">
        <f>IFERROR(__xludf.DUMMYFUNCTION("""COMPUTED_VALUE"""),62436.0)</f>
        <v>62436</v>
      </c>
      <c r="F214" s="3" t="str">
        <f>IFERROR(__xludf.DUMMYFUNCTION("""COMPUTED_VALUE"""),"GBP")</f>
        <v>GBP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 t="str">
        <f>IFERROR(__xludf.DUMMYFUNCTION("""COMPUTED_VALUE"""),"61b5e379-18f0-4751-8442-eb1726fd90d5")</f>
        <v>61b5e379-18f0-4751-8442-eb1726fd90d5</v>
      </c>
      <c r="B215" s="3" t="str">
        <f>IFERROR(__xludf.DUMMYFUNCTION("""COMPUTED_VALUE"""),"Nottingham")</f>
        <v>Nottingham</v>
      </c>
      <c r="C215" s="4">
        <f>IFERROR(__xludf.DUMMYFUNCTION("""COMPUTED_VALUE"""),45677.0)</f>
        <v>45677</v>
      </c>
      <c r="D215" s="3">
        <f>IFERROR(__xludf.DUMMYFUNCTION("""COMPUTED_VALUE"""),61.0)</f>
        <v>61</v>
      </c>
      <c r="E215" s="3">
        <f>IFERROR(__xludf.DUMMYFUNCTION("""COMPUTED_VALUE"""),63440.0)</f>
        <v>63440</v>
      </c>
      <c r="F215" s="3" t="str">
        <f>IFERROR(__xludf.DUMMYFUNCTION("""COMPUTED_VALUE"""),"GBP")</f>
        <v>GBP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 t="str">
        <f>IFERROR(__xludf.DUMMYFUNCTION("""COMPUTED_VALUE"""),"167be78d-a59e-40d6-9ae3-0e30c56dcb97")</f>
        <v>167be78d-a59e-40d6-9ae3-0e30c56dcb97</v>
      </c>
      <c r="B216" s="3" t="str">
        <f>IFERROR(__xludf.DUMMYFUNCTION("""COMPUTED_VALUE"""),"London")</f>
        <v>London</v>
      </c>
      <c r="C216" s="4">
        <f>IFERROR(__xludf.DUMMYFUNCTION("""COMPUTED_VALUE"""),45677.0)</f>
        <v>45677</v>
      </c>
      <c r="D216" s="3">
        <f>IFERROR(__xludf.DUMMYFUNCTION("""COMPUTED_VALUE"""),54.0)</f>
        <v>54</v>
      </c>
      <c r="E216" s="3">
        <f>IFERROR(__xludf.DUMMYFUNCTION("""COMPUTED_VALUE"""),43308.0)</f>
        <v>43308</v>
      </c>
      <c r="F216" s="3" t="str">
        <f>IFERROR(__xludf.DUMMYFUNCTION("""COMPUTED_VALUE"""),"GBP")</f>
        <v>GBP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 t="str">
        <f>IFERROR(__xludf.DUMMYFUNCTION("""COMPUTED_VALUE"""),"3e5e7448-2215-40db-b103-2ccfcb9f233q")</f>
        <v>3e5e7448-2215-40db-b103-2ccfcb9f233q</v>
      </c>
      <c r="B217" s="3" t="str">
        <f>IFERROR(__xludf.DUMMYFUNCTION("""COMPUTED_VALUE"""),"Manchester")</f>
        <v>Manchester</v>
      </c>
      <c r="C217" s="4">
        <f>IFERROR(__xludf.DUMMYFUNCTION("""COMPUTED_VALUE"""),45677.0)</f>
        <v>45677</v>
      </c>
      <c r="D217" s="3">
        <f>IFERROR(__xludf.DUMMYFUNCTION("""COMPUTED_VALUE"""),58.0)</f>
        <v>58</v>
      </c>
      <c r="E217" s="3">
        <f>IFERROR(__xludf.DUMMYFUNCTION("""COMPUTED_VALUE"""),51678.0)</f>
        <v>51678</v>
      </c>
      <c r="F217" s="3" t="str">
        <f>IFERROR(__xludf.DUMMYFUNCTION("""COMPUTED_VALUE"""),"GBP")</f>
        <v>GBP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 t="str">
        <f>IFERROR(__xludf.DUMMYFUNCTION("""COMPUTED_VALUE"""),"22c62867-249a-4f5f-b2a5-1bb97765c3b7")</f>
        <v>22c62867-249a-4f5f-b2a5-1bb97765c3b7</v>
      </c>
      <c r="B218" s="3" t="str">
        <f>IFERROR(__xludf.DUMMYFUNCTION("""COMPUTED_VALUE"""),"Manchester")</f>
        <v>Manchester</v>
      </c>
      <c r="C218" s="4">
        <f>IFERROR(__xludf.DUMMYFUNCTION("""COMPUTED_VALUE"""),45677.0)</f>
        <v>45677</v>
      </c>
      <c r="D218" s="3">
        <f>IFERROR(__xludf.DUMMYFUNCTION("""COMPUTED_VALUE"""),62.0)</f>
        <v>62</v>
      </c>
      <c r="E218" s="3">
        <f>IFERROR(__xludf.DUMMYFUNCTION("""COMPUTED_VALUE"""),58466.0)</f>
        <v>58466</v>
      </c>
      <c r="F218" s="3" t="str">
        <f>IFERROR(__xludf.DUMMYFUNCTION("""COMPUTED_VALUE"""),"GBP")</f>
        <v>GBP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 t="str">
        <f>IFERROR(__xludf.DUMMYFUNCTION("""COMPUTED_VALUE"""),"50044743-5d1e-4272-a3f2-8907033f0f59")</f>
        <v>50044743-5d1e-4272-a3f2-8907033f0f59</v>
      </c>
      <c r="B219" s="3" t="str">
        <f>IFERROR(__xludf.DUMMYFUNCTION("""COMPUTED_VALUE"""),"Birmingham")</f>
        <v>Birmingham</v>
      </c>
      <c r="C219" s="4">
        <f>IFERROR(__xludf.DUMMYFUNCTION("""COMPUTED_VALUE"""),45677.0)</f>
        <v>45677</v>
      </c>
      <c r="D219" s="3">
        <f>IFERROR(__xludf.DUMMYFUNCTION("""COMPUTED_VALUE"""),62.0)</f>
        <v>62</v>
      </c>
      <c r="E219" s="3">
        <f>IFERROR(__xludf.DUMMYFUNCTION("""COMPUTED_VALUE"""),59892.0)</f>
        <v>59892</v>
      </c>
      <c r="F219" s="3" t="str">
        <f>IFERROR(__xludf.DUMMYFUNCTION("""COMPUTED_VALUE"""),"GBP")</f>
        <v>GBP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 t="str">
        <f>IFERROR(__xludf.DUMMYFUNCTION("""COMPUTED_VALUE"""),"b2eff025-a03b-462a-bf72-01fb7cc545e9")</f>
        <v>b2eff025-a03b-462a-bf72-01fb7cc545e9</v>
      </c>
      <c r="B220" s="3" t="str">
        <f>IFERROR(__xludf.DUMMYFUNCTION("""COMPUTED_VALUE"""),"Manchester")</f>
        <v>Manchester</v>
      </c>
      <c r="C220" s="4">
        <f>IFERROR(__xludf.DUMMYFUNCTION("""COMPUTED_VALUE"""),45677.0)</f>
        <v>45677</v>
      </c>
      <c r="D220" s="3">
        <f>IFERROR(__xludf.DUMMYFUNCTION("""COMPUTED_VALUE"""),61.0)</f>
        <v>61</v>
      </c>
      <c r="E220" s="3">
        <f>IFERROR(__xludf.DUMMYFUNCTION("""COMPUTED_VALUE"""),56181.0)</f>
        <v>56181</v>
      </c>
      <c r="F220" s="3" t="str">
        <f>IFERROR(__xludf.DUMMYFUNCTION("""COMPUTED_VALUE"""),"GBP")</f>
        <v>GBP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 t="str">
        <f>IFERROR(__xludf.DUMMYFUNCTION("""COMPUTED_VALUE"""),"70481fe9-ff12-46ee-b8b7-3f9013883471")</f>
        <v>70481fe9-ff12-46ee-b8b7-3f9013883471</v>
      </c>
      <c r="B221" s="3" t="str">
        <f>IFERROR(__xludf.DUMMYFUNCTION("""COMPUTED_VALUE"""),"Liverpool")</f>
        <v>Liverpool</v>
      </c>
      <c r="C221" s="4">
        <f>IFERROR(__xludf.DUMMYFUNCTION("""COMPUTED_VALUE"""),45677.0)</f>
        <v>45677</v>
      </c>
      <c r="D221" s="3">
        <f>IFERROR(__xludf.DUMMYFUNCTION("""COMPUTED_VALUE"""),54.0)</f>
        <v>54</v>
      </c>
      <c r="E221" s="3">
        <f>IFERROR(__xludf.DUMMYFUNCTION("""COMPUTED_VALUE"""),42822.0)</f>
        <v>42822</v>
      </c>
      <c r="F221" s="3" t="str">
        <f>IFERROR(__xludf.DUMMYFUNCTION("""COMPUTED_VALUE"""),"GBP")</f>
        <v>GBP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 t="str">
        <f>IFERROR(__xludf.DUMMYFUNCTION("""COMPUTED_VALUE"""),"7761bfe5-39d2-4335-8a22-c83f154b724x")</f>
        <v>7761bfe5-39d2-4335-8a22-c83f154b724x</v>
      </c>
      <c r="B222" s="3" t="str">
        <f>IFERROR(__xludf.DUMMYFUNCTION("""COMPUTED_VALUE"""),"Bristol")</f>
        <v>Bristol</v>
      </c>
      <c r="C222" s="4">
        <f>IFERROR(__xludf.DUMMYFUNCTION("""COMPUTED_VALUE"""),45677.0)</f>
        <v>45677</v>
      </c>
      <c r="D222" s="3">
        <f>IFERROR(__xludf.DUMMYFUNCTION("""COMPUTED_VALUE"""),56.0)</f>
        <v>56</v>
      </c>
      <c r="E222" s="3">
        <f>IFERROR(__xludf.DUMMYFUNCTION("""COMPUTED_VALUE"""),39816.0)</f>
        <v>39816</v>
      </c>
      <c r="F222" s="3" t="str">
        <f>IFERROR(__xludf.DUMMYFUNCTION("""COMPUTED_VALUE"""),"GBP")</f>
        <v>GBP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 t="str">
        <f>IFERROR(__xludf.DUMMYFUNCTION("""COMPUTED_VALUE"""),"f35328c9-1081-47cd-b50f-e16acd3c85bj")</f>
        <v>f35328c9-1081-47cd-b50f-e16acd3c85bj</v>
      </c>
      <c r="B223" s="3" t="str">
        <f>IFERROR(__xludf.DUMMYFUNCTION("""COMPUTED_VALUE"""),"Bristol")</f>
        <v>Bristol</v>
      </c>
      <c r="C223" s="4">
        <f>IFERROR(__xludf.DUMMYFUNCTION("""COMPUTED_VALUE"""),45677.0)</f>
        <v>45677</v>
      </c>
      <c r="D223" s="3">
        <f>IFERROR(__xludf.DUMMYFUNCTION("""COMPUTED_VALUE"""),66.0)</f>
        <v>66</v>
      </c>
      <c r="E223" s="3">
        <f>IFERROR(__xludf.DUMMYFUNCTION("""COMPUTED_VALUE"""),63294.0)</f>
        <v>63294</v>
      </c>
      <c r="F223" s="3" t="str">
        <f>IFERROR(__xludf.DUMMYFUNCTION("""COMPUTED_VALUE"""),"GBP")</f>
        <v>GBP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 t="str">
        <f>IFERROR(__xludf.DUMMYFUNCTION("""COMPUTED_VALUE"""),"4a9fea40-de3b-41b4-b1e9-6ad5bc792c4r")</f>
        <v>4a9fea40-de3b-41b4-b1e9-6ad5bc792c4r</v>
      </c>
      <c r="B224" s="3" t="str">
        <f>IFERROR(__xludf.DUMMYFUNCTION("""COMPUTED_VALUE"""),"Liverpool")</f>
        <v>Liverpool</v>
      </c>
      <c r="C224" s="4">
        <f>IFERROR(__xludf.DUMMYFUNCTION("""COMPUTED_VALUE"""),45677.0)</f>
        <v>45677</v>
      </c>
      <c r="D224" s="3">
        <f>IFERROR(__xludf.DUMMYFUNCTION("""COMPUTED_VALUE"""),59.0)</f>
        <v>59</v>
      </c>
      <c r="E224" s="3">
        <f>IFERROR(__xludf.DUMMYFUNCTION("""COMPUTED_VALUE"""),46020.0)</f>
        <v>46020</v>
      </c>
      <c r="F224" s="3" t="str">
        <f>IFERROR(__xludf.DUMMYFUNCTION("""COMPUTED_VALUE"""),"GBP")</f>
        <v>GBP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 t="str">
        <f>IFERROR(__xludf.DUMMYFUNCTION("""COMPUTED_VALUE"""),"8eb5501b-0ee3-40bc-8f4e-1f8fd7a6ade4")</f>
        <v>8eb5501b-0ee3-40bc-8f4e-1f8fd7a6ade4</v>
      </c>
      <c r="B225" s="3" t="str">
        <f>IFERROR(__xludf.DUMMYFUNCTION("""COMPUTED_VALUE"""),"Nottingham")</f>
        <v>Nottingham</v>
      </c>
      <c r="C225" s="4">
        <f>IFERROR(__xludf.DUMMYFUNCTION("""COMPUTED_VALUE"""),45684.0)</f>
        <v>45684</v>
      </c>
      <c r="D225" s="3">
        <f>IFERROR(__xludf.DUMMYFUNCTION("""COMPUTED_VALUE"""),62.0)</f>
        <v>62</v>
      </c>
      <c r="E225" s="3">
        <f>IFERROR(__xludf.DUMMYFUNCTION("""COMPUTED_VALUE"""),65100.0)</f>
        <v>65100</v>
      </c>
      <c r="F225" s="3" t="str">
        <f>IFERROR(__xludf.DUMMYFUNCTION("""COMPUTED_VALUE"""),"GBP")</f>
        <v>GBP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 t="str">
        <f>IFERROR(__xludf.DUMMYFUNCTION("""COMPUTED_VALUE"""),"fb93fc87-48c0-4a6d-83c6-654a6efe173n")</f>
        <v>fb93fc87-48c0-4a6d-83c6-654a6efe173n</v>
      </c>
      <c r="B226" s="3" t="str">
        <f>IFERROR(__xludf.DUMMYFUNCTION("""COMPUTED_VALUE"""),"Liverpool")</f>
        <v>Liverpool</v>
      </c>
      <c r="C226" s="4">
        <f>IFERROR(__xludf.DUMMYFUNCTION("""COMPUTED_VALUE"""),45684.0)</f>
        <v>45684</v>
      </c>
      <c r="D226" s="3">
        <f>IFERROR(__xludf.DUMMYFUNCTION("""COMPUTED_VALUE"""),66.0)</f>
        <v>66</v>
      </c>
      <c r="E226" s="3">
        <f>IFERROR(__xludf.DUMMYFUNCTION("""COMPUTED_VALUE"""),61050.0)</f>
        <v>61050</v>
      </c>
      <c r="F226" s="3" t="str">
        <f>IFERROR(__xludf.DUMMYFUNCTION("""COMPUTED_VALUE"""),"GBP")</f>
        <v>GBP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 t="str">
        <f>IFERROR(__xludf.DUMMYFUNCTION("""COMPUTED_VALUE"""),"5fb619f8-ec50-47de-8a84-3829cb8862a8")</f>
        <v>5fb619f8-ec50-47de-8a84-3829cb8862a8</v>
      </c>
      <c r="B227" s="3" t="str">
        <f>IFERROR(__xludf.DUMMYFUNCTION("""COMPUTED_VALUE"""),"Nottingham")</f>
        <v>Nottingham</v>
      </c>
      <c r="C227" s="4">
        <f>IFERROR(__xludf.DUMMYFUNCTION("""COMPUTED_VALUE"""),45684.0)</f>
        <v>45684</v>
      </c>
      <c r="D227" s="3">
        <f>IFERROR(__xludf.DUMMYFUNCTION("""COMPUTED_VALUE"""),69.0)</f>
        <v>69</v>
      </c>
      <c r="E227" s="3">
        <f>IFERROR(__xludf.DUMMYFUNCTION("""COMPUTED_VALUE"""),68655.0)</f>
        <v>68655</v>
      </c>
      <c r="F227" s="3" t="str">
        <f>IFERROR(__xludf.DUMMYFUNCTION("""COMPUTED_VALUE"""),"GBP")</f>
        <v>GBP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 t="str">
        <f>IFERROR(__xludf.DUMMYFUNCTION("""COMPUTED_VALUE"""),"d48a4781-9cb4-4a88-bc67-0a8276d6f675")</f>
        <v>d48a4781-9cb4-4a88-bc67-0a8276d6f675</v>
      </c>
      <c r="B228" s="3" t="str">
        <f>IFERROR(__xludf.DUMMYFUNCTION("""COMPUTED_VALUE"""),"Nottingham")</f>
        <v>Nottingham</v>
      </c>
      <c r="C228" s="4">
        <f>IFERROR(__xludf.DUMMYFUNCTION("""COMPUTED_VALUE"""),45684.0)</f>
        <v>45684</v>
      </c>
      <c r="D228" s="3">
        <f>IFERROR(__xludf.DUMMYFUNCTION("""COMPUTED_VALUE"""),52.0)</f>
        <v>52</v>
      </c>
      <c r="E228" s="3">
        <f>IFERROR(__xludf.DUMMYFUNCTION("""COMPUTED_VALUE"""),38012.0)</f>
        <v>38012</v>
      </c>
      <c r="F228" s="3" t="str">
        <f>IFERROR(__xludf.DUMMYFUNCTION("""COMPUTED_VALUE"""),"GBP")</f>
        <v>GBP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 t="str">
        <f>IFERROR(__xludf.DUMMYFUNCTION("""COMPUTED_VALUE"""),"0a6400a9-1eea-420c-903f-50825d0969c8")</f>
        <v>0a6400a9-1eea-420c-903f-50825d0969c8</v>
      </c>
      <c r="B229" s="3" t="str">
        <f>IFERROR(__xludf.DUMMYFUNCTION("""COMPUTED_VALUE"""),"Nottingham")</f>
        <v>Nottingham</v>
      </c>
      <c r="C229" s="4">
        <f>IFERROR(__xludf.DUMMYFUNCTION("""COMPUTED_VALUE"""),45684.0)</f>
        <v>45684</v>
      </c>
      <c r="D229" s="3">
        <f>IFERROR(__xludf.DUMMYFUNCTION("""COMPUTED_VALUE"""),59.0)</f>
        <v>59</v>
      </c>
      <c r="E229" s="3">
        <f>IFERROR(__xludf.DUMMYFUNCTION("""COMPUTED_VALUE"""),45017.0)</f>
        <v>45017</v>
      </c>
      <c r="F229" s="3" t="str">
        <f>IFERROR(__xludf.DUMMYFUNCTION("""COMPUTED_VALUE"""),"GBP")</f>
        <v>GBP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 t="str">
        <f>IFERROR(__xludf.DUMMYFUNCTION("""COMPUTED_VALUE"""),"b04c0884-0345-4c6a-8300-26baa15bf243")</f>
        <v>b04c0884-0345-4c6a-8300-26baa15bf243</v>
      </c>
      <c r="B230" s="3" t="str">
        <f>IFERROR(__xludf.DUMMYFUNCTION("""COMPUTED_VALUE"""),"Nottingham")</f>
        <v>Nottingham</v>
      </c>
      <c r="C230" s="4">
        <f>IFERROR(__xludf.DUMMYFUNCTION("""COMPUTED_VALUE"""),45684.0)</f>
        <v>45684</v>
      </c>
      <c r="D230" s="3">
        <f>IFERROR(__xludf.DUMMYFUNCTION("""COMPUTED_VALUE"""),51.0)</f>
        <v>51</v>
      </c>
      <c r="E230" s="3">
        <f>IFERROR(__xludf.DUMMYFUNCTION("""COMPUTED_VALUE"""),35700.0)</f>
        <v>35700</v>
      </c>
      <c r="F230" s="3" t="str">
        <f>IFERROR(__xludf.DUMMYFUNCTION("""COMPUTED_VALUE"""),"GBP")</f>
        <v>GBP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 t="str">
        <f>IFERROR(__xludf.DUMMYFUNCTION("""COMPUTED_VALUE"""),"c1dcd5c1-7dc0-4c3d-89f3-110318f0c8f0")</f>
        <v>c1dcd5c1-7dc0-4c3d-89f3-110318f0c8f0</v>
      </c>
      <c r="B231" s="3" t="str">
        <f>IFERROR(__xludf.DUMMYFUNCTION("""COMPUTED_VALUE"""),"Liverpool")</f>
        <v>Liverpool</v>
      </c>
      <c r="C231" s="4">
        <f>IFERROR(__xludf.DUMMYFUNCTION("""COMPUTED_VALUE"""),45684.0)</f>
        <v>45684</v>
      </c>
      <c r="D231" s="3">
        <f>IFERROR(__xludf.DUMMYFUNCTION("""COMPUTED_VALUE"""),67.0)</f>
        <v>67</v>
      </c>
      <c r="E231" s="3">
        <f>IFERROR(__xludf.DUMMYFUNCTION("""COMPUTED_VALUE"""),60568.0)</f>
        <v>60568</v>
      </c>
      <c r="F231" s="3" t="str">
        <f>IFERROR(__xludf.DUMMYFUNCTION("""COMPUTED_VALUE"""),"GBP")</f>
        <v>GBP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 t="str">
        <f>IFERROR(__xludf.DUMMYFUNCTION("""COMPUTED_VALUE"""),"a1256fa6-95a1-4b76-8b24-f0c72647538f")</f>
        <v>a1256fa6-95a1-4b76-8b24-f0c72647538f</v>
      </c>
      <c r="B232" s="3" t="str">
        <f>IFERROR(__xludf.DUMMYFUNCTION("""COMPUTED_VALUE"""),"London")</f>
        <v>London</v>
      </c>
      <c r="C232" s="4">
        <f>IFERROR(__xludf.DUMMYFUNCTION("""COMPUTED_VALUE"""),45684.0)</f>
        <v>45684</v>
      </c>
      <c r="D232" s="3">
        <f>IFERROR(__xludf.DUMMYFUNCTION("""COMPUTED_VALUE"""),57.0)</f>
        <v>57</v>
      </c>
      <c r="E232" s="3">
        <f>IFERROR(__xludf.DUMMYFUNCTION("""COMPUTED_VALUE"""),49191.0)</f>
        <v>49191</v>
      </c>
      <c r="F232" s="3" t="str">
        <f>IFERROR(__xludf.DUMMYFUNCTION("""COMPUTED_VALUE"""),"GBP")</f>
        <v>GBP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 t="str">
        <f>IFERROR(__xludf.DUMMYFUNCTION("""COMPUTED_VALUE"""),"b3aa4a39-8c7d-480e-951a-df805c211e4u")</f>
        <v>b3aa4a39-8c7d-480e-951a-df805c211e4u</v>
      </c>
      <c r="B233" s="3" t="str">
        <f>IFERROR(__xludf.DUMMYFUNCTION("""COMPUTED_VALUE"""),"Nottingham")</f>
        <v>Nottingham</v>
      </c>
      <c r="C233" s="4">
        <f>IFERROR(__xludf.DUMMYFUNCTION("""COMPUTED_VALUE"""),45684.0)</f>
        <v>45684</v>
      </c>
      <c r="D233" s="3">
        <f>IFERROR(__xludf.DUMMYFUNCTION("""COMPUTED_VALUE"""),69.0)</f>
        <v>69</v>
      </c>
      <c r="E233" s="3">
        <f>IFERROR(__xludf.DUMMYFUNCTION("""COMPUTED_VALUE"""),68586.0)</f>
        <v>68586</v>
      </c>
      <c r="F233" s="3" t="str">
        <f>IFERROR(__xludf.DUMMYFUNCTION("""COMPUTED_VALUE"""),"GBP")</f>
        <v>GBP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 t="str">
        <f>IFERROR(__xludf.DUMMYFUNCTION("""COMPUTED_VALUE"""),"6d9944c9-8b73-43d2-ac94-c140233634bs")</f>
        <v>6d9944c9-8b73-43d2-ac94-c140233634bs</v>
      </c>
      <c r="B234" s="3" t="str">
        <f>IFERROR(__xludf.DUMMYFUNCTION("""COMPUTED_VALUE"""),"Bristol")</f>
        <v>Bristol</v>
      </c>
      <c r="C234" s="4">
        <f>IFERROR(__xludf.DUMMYFUNCTION("""COMPUTED_VALUE"""),45684.0)</f>
        <v>45684</v>
      </c>
      <c r="D234" s="3">
        <f>IFERROR(__xludf.DUMMYFUNCTION("""COMPUTED_VALUE"""),58.0)</f>
        <v>58</v>
      </c>
      <c r="E234" s="3">
        <f>IFERROR(__xludf.DUMMYFUNCTION("""COMPUTED_VALUE"""),49996.0)</f>
        <v>49996</v>
      </c>
      <c r="F234" s="3" t="str">
        <f>IFERROR(__xludf.DUMMYFUNCTION("""COMPUTED_VALUE"""),"GBP")</f>
        <v>GBP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 t="str">
        <f>IFERROR(__xludf.DUMMYFUNCTION("""COMPUTED_VALUE"""),"3e5e7448-2215-40db-b103-2ccfcb9f233q")</f>
        <v>3e5e7448-2215-40db-b103-2ccfcb9f233q</v>
      </c>
      <c r="B235" s="3" t="str">
        <f>IFERROR(__xludf.DUMMYFUNCTION("""COMPUTED_VALUE"""),"Manchester")</f>
        <v>Manchester</v>
      </c>
      <c r="C235" s="4">
        <f>IFERROR(__xludf.DUMMYFUNCTION("""COMPUTED_VALUE"""),45684.0)</f>
        <v>45684</v>
      </c>
      <c r="D235" s="3">
        <f>IFERROR(__xludf.DUMMYFUNCTION("""COMPUTED_VALUE"""),67.0)</f>
        <v>67</v>
      </c>
      <c r="E235" s="3">
        <f>IFERROR(__xludf.DUMMYFUNCTION("""COMPUTED_VALUE"""),68273.0)</f>
        <v>68273</v>
      </c>
      <c r="F235" s="3" t="str">
        <f>IFERROR(__xludf.DUMMYFUNCTION("""COMPUTED_VALUE"""),"GBP")</f>
        <v>GBP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 t="str">
        <f>IFERROR(__xludf.DUMMYFUNCTION("""COMPUTED_VALUE"""),"b6fdc287-acce-4146-9e28-54a5b2a70ec6")</f>
        <v>b6fdc287-acce-4146-9e28-54a5b2a70ec6</v>
      </c>
      <c r="B236" s="3" t="str">
        <f>IFERROR(__xludf.DUMMYFUNCTION("""COMPUTED_VALUE"""),"Liverpool")</f>
        <v>Liverpool</v>
      </c>
      <c r="C236" s="4">
        <f>IFERROR(__xludf.DUMMYFUNCTION("""COMPUTED_VALUE"""),45684.0)</f>
        <v>45684</v>
      </c>
      <c r="D236" s="3">
        <f>IFERROR(__xludf.DUMMYFUNCTION("""COMPUTED_VALUE"""),56.0)</f>
        <v>56</v>
      </c>
      <c r="E236" s="3">
        <f>IFERROR(__xludf.DUMMYFUNCTION("""COMPUTED_VALUE"""),49616.0)</f>
        <v>49616</v>
      </c>
      <c r="F236" s="3" t="str">
        <f>IFERROR(__xludf.DUMMYFUNCTION("""COMPUTED_VALUE"""),"GBP")</f>
        <v>GBP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 t="str">
        <f>IFERROR(__xludf.DUMMYFUNCTION("""COMPUTED_VALUE"""),"c4c3e6c0-e880-4432-a618-444c9a453526")</f>
        <v>c4c3e6c0-e880-4432-a618-444c9a453526</v>
      </c>
      <c r="B237" s="3" t="str">
        <f>IFERROR(__xludf.DUMMYFUNCTION("""COMPUTED_VALUE"""),"Nottingham")</f>
        <v>Nottingham</v>
      </c>
      <c r="C237" s="4">
        <f>IFERROR(__xludf.DUMMYFUNCTION("""COMPUTED_VALUE"""),45684.0)</f>
        <v>45684</v>
      </c>
      <c r="D237" s="3">
        <f>IFERROR(__xludf.DUMMYFUNCTION("""COMPUTED_VALUE"""),61.0)</f>
        <v>61</v>
      </c>
      <c r="E237" s="3">
        <f>IFERROR(__xludf.DUMMYFUNCTION("""COMPUTED_VALUE"""),59658.0)</f>
        <v>59658</v>
      </c>
      <c r="F237" s="3" t="str">
        <f>IFERROR(__xludf.DUMMYFUNCTION("""COMPUTED_VALUE"""),"GBP")</f>
        <v>GBP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 t="str">
        <f>IFERROR(__xludf.DUMMYFUNCTION("""COMPUTED_VALUE"""),"b2eff025-a03b-462a-bf72-01fb7cc545eb")</f>
        <v>b2eff025-a03b-462a-bf72-01fb7cc545eb</v>
      </c>
      <c r="B238" s="3" t="str">
        <f>IFERROR(__xludf.DUMMYFUNCTION("""COMPUTED_VALUE"""),"Manchester")</f>
        <v>Manchester</v>
      </c>
      <c r="C238" s="4">
        <f>IFERROR(__xludf.DUMMYFUNCTION("""COMPUTED_VALUE"""),45684.0)</f>
        <v>45684</v>
      </c>
      <c r="D238" s="3">
        <f>IFERROR(__xludf.DUMMYFUNCTION("""COMPUTED_VALUE"""),51.0)</f>
        <v>51</v>
      </c>
      <c r="E238" s="3">
        <f>IFERROR(__xludf.DUMMYFUNCTION("""COMPUTED_VALUE"""),41004.0)</f>
        <v>41004</v>
      </c>
      <c r="F238" s="3" t="str">
        <f>IFERROR(__xludf.DUMMYFUNCTION("""COMPUTED_VALUE"""),"GBP")</f>
        <v>GBP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 t="str">
        <f>IFERROR(__xludf.DUMMYFUNCTION("""COMPUTED_VALUE"""),"29c33478-d4dd-4668-abc1-cba3af0aa5e5")</f>
        <v>29c33478-d4dd-4668-abc1-cba3af0aa5e5</v>
      </c>
      <c r="B239" s="3" t="str">
        <f>IFERROR(__xludf.DUMMYFUNCTION("""COMPUTED_VALUE"""),"Birmingham")</f>
        <v>Birmingham</v>
      </c>
      <c r="C239" s="4">
        <f>IFERROR(__xludf.DUMMYFUNCTION("""COMPUTED_VALUE"""),45684.0)</f>
        <v>45684</v>
      </c>
      <c r="D239" s="3">
        <f>IFERROR(__xludf.DUMMYFUNCTION("""COMPUTED_VALUE"""),67.0)</f>
        <v>67</v>
      </c>
      <c r="E239" s="3">
        <f>IFERROR(__xludf.DUMMYFUNCTION("""COMPUTED_VALUE"""),61707.0)</f>
        <v>61707</v>
      </c>
      <c r="F239" s="3" t="str">
        <f>IFERROR(__xludf.DUMMYFUNCTION("""COMPUTED_VALUE"""),"GBP")</f>
        <v>GBP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 t="str">
        <f>IFERROR(__xludf.DUMMYFUNCTION("""COMPUTED_VALUE"""),"f82160bd-df11-464c-80f2-5926b2c72bcv")</f>
        <v>f82160bd-df11-464c-80f2-5926b2c72bcv</v>
      </c>
      <c r="B240" s="3" t="str">
        <f>IFERROR(__xludf.DUMMYFUNCTION("""COMPUTED_VALUE"""),"Nottingham")</f>
        <v>Nottingham</v>
      </c>
      <c r="C240" s="4">
        <f>IFERROR(__xludf.DUMMYFUNCTION("""COMPUTED_VALUE"""),45684.0)</f>
        <v>45684</v>
      </c>
      <c r="D240" s="3">
        <f>IFERROR(__xludf.DUMMYFUNCTION("""COMPUTED_VALUE"""),66.0)</f>
        <v>66</v>
      </c>
      <c r="E240" s="3">
        <f>IFERROR(__xludf.DUMMYFUNCTION("""COMPUTED_VALUE"""),69168.0)</f>
        <v>69168</v>
      </c>
      <c r="F240" s="3" t="str">
        <f>IFERROR(__xludf.DUMMYFUNCTION("""COMPUTED_VALUE"""),"GBP")</f>
        <v>GBP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 t="str">
        <f>IFERROR(__xludf.DUMMYFUNCTION("""COMPUTED_VALUE"""),"aa6583d6-5de2-4ad9-8472-db89f8696eey")</f>
        <v>aa6583d6-5de2-4ad9-8472-db89f8696eey</v>
      </c>
      <c r="B241" s="3" t="str">
        <f>IFERROR(__xludf.DUMMYFUNCTION("""COMPUTED_VALUE"""),"London")</f>
        <v>London</v>
      </c>
      <c r="C241" s="4">
        <f>IFERROR(__xludf.DUMMYFUNCTION("""COMPUTED_VALUE"""),45684.0)</f>
        <v>45684</v>
      </c>
      <c r="D241" s="3">
        <f>IFERROR(__xludf.DUMMYFUNCTION("""COMPUTED_VALUE"""),59.0)</f>
        <v>59</v>
      </c>
      <c r="E241" s="3">
        <f>IFERROR(__xludf.DUMMYFUNCTION("""COMPUTED_VALUE"""),49855.0)</f>
        <v>49855</v>
      </c>
      <c r="F241" s="3" t="str">
        <f>IFERROR(__xludf.DUMMYFUNCTION("""COMPUTED_VALUE"""),"GBP")</f>
        <v>GBP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 t="str">
        <f>IFERROR(__xludf.DUMMYFUNCTION("""COMPUTED_VALUE"""),"ce4ea715-d32f-45dd-9150-8f600184f5b0")</f>
        <v>ce4ea715-d32f-45dd-9150-8f600184f5b0</v>
      </c>
      <c r="B242" s="3" t="str">
        <f>IFERROR(__xludf.DUMMYFUNCTION("""COMPUTED_VALUE"""),"Bristol")</f>
        <v>Bristol</v>
      </c>
      <c r="C242" s="4">
        <f>IFERROR(__xludf.DUMMYFUNCTION("""COMPUTED_VALUE"""),45684.0)</f>
        <v>45684</v>
      </c>
      <c r="D242" s="3">
        <f>IFERROR(__xludf.DUMMYFUNCTION("""COMPUTED_VALUE"""),65.0)</f>
        <v>65</v>
      </c>
      <c r="E242" s="3">
        <f>IFERROR(__xludf.DUMMYFUNCTION("""COMPUTED_VALUE"""),59410.0)</f>
        <v>59410</v>
      </c>
      <c r="F242" s="3" t="str">
        <f>IFERROR(__xludf.DUMMYFUNCTION("""COMPUTED_VALUE"""),"GBP")</f>
        <v>GBP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 t="str">
        <f>IFERROR(__xludf.DUMMYFUNCTION("""COMPUTED_VALUE"""),"77135e29-d302-4a0a-835e-3cd7ab4bd7a7")</f>
        <v>77135e29-d302-4a0a-835e-3cd7ab4bd7a7</v>
      </c>
      <c r="B243" s="3" t="str">
        <f>IFERROR(__xludf.DUMMYFUNCTION("""COMPUTED_VALUE"""),"Bristol")</f>
        <v>Bristol</v>
      </c>
      <c r="C243" s="4">
        <f>IFERROR(__xludf.DUMMYFUNCTION("""COMPUTED_VALUE"""),45684.0)</f>
        <v>45684</v>
      </c>
      <c r="D243" s="3">
        <f>IFERROR(__xludf.DUMMYFUNCTION("""COMPUTED_VALUE"""),64.0)</f>
        <v>64</v>
      </c>
      <c r="E243" s="3">
        <f>IFERROR(__xludf.DUMMYFUNCTION("""COMPUTED_VALUE"""),61184.0)</f>
        <v>61184</v>
      </c>
      <c r="F243" s="3" t="str">
        <f>IFERROR(__xludf.DUMMYFUNCTION("""COMPUTED_VALUE"""),"GBP")</f>
        <v>GBP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 t="str">
        <f>IFERROR(__xludf.DUMMYFUNCTION("""COMPUTED_VALUE"""),"167be78d-a59e-40d6-9ae3-0e30c56dcb97")</f>
        <v>167be78d-a59e-40d6-9ae3-0e30c56dcb97</v>
      </c>
      <c r="B244" s="3" t="str">
        <f>IFERROR(__xludf.DUMMYFUNCTION("""COMPUTED_VALUE"""),"London")</f>
        <v>London</v>
      </c>
      <c r="C244" s="4">
        <f>IFERROR(__xludf.DUMMYFUNCTION("""COMPUTED_VALUE"""),45684.0)</f>
        <v>45684</v>
      </c>
      <c r="D244" s="3">
        <f>IFERROR(__xludf.DUMMYFUNCTION("""COMPUTED_VALUE"""),60.0)</f>
        <v>60</v>
      </c>
      <c r="E244" s="3">
        <f>IFERROR(__xludf.DUMMYFUNCTION("""COMPUTED_VALUE"""),46080.0)</f>
        <v>46080</v>
      </c>
      <c r="F244" s="3" t="str">
        <f>IFERROR(__xludf.DUMMYFUNCTION("""COMPUTED_VALUE"""),"GBP")</f>
        <v>GBP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 t="str">
        <f>IFERROR(__xludf.DUMMYFUNCTION("""COMPUTED_VALUE"""),"2af11deb-b5d3-459a-8ff8-105086ee007h")</f>
        <v>2af11deb-b5d3-459a-8ff8-105086ee007h</v>
      </c>
      <c r="B245" s="3" t="str">
        <f>IFERROR(__xludf.DUMMYFUNCTION("""COMPUTED_VALUE"""),"Bristol")</f>
        <v>Bristol</v>
      </c>
      <c r="C245" s="4">
        <f>IFERROR(__xludf.DUMMYFUNCTION("""COMPUTED_VALUE"""),45684.0)</f>
        <v>45684</v>
      </c>
      <c r="D245" s="3">
        <f>IFERROR(__xludf.DUMMYFUNCTION("""COMPUTED_VALUE"""),61.0)</f>
        <v>61</v>
      </c>
      <c r="E245" s="3">
        <f>IFERROR(__xludf.DUMMYFUNCTION("""COMPUTED_VALUE"""),62037.0)</f>
        <v>62037</v>
      </c>
      <c r="F245" s="3" t="str">
        <f>IFERROR(__xludf.DUMMYFUNCTION("""COMPUTED_VALUE"""),"GBP")</f>
        <v>GBP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 t="str">
        <f>IFERROR(__xludf.DUMMYFUNCTION("""COMPUTED_VALUE"""),"4eb6f8ee-120d-4b4d-b702-67225c493fa3")</f>
        <v>4eb6f8ee-120d-4b4d-b702-67225c493fa3</v>
      </c>
      <c r="B246" s="3" t="str">
        <f>IFERROR(__xludf.DUMMYFUNCTION("""COMPUTED_VALUE"""),"Manchester")</f>
        <v>Manchester</v>
      </c>
      <c r="C246" s="4">
        <f>IFERROR(__xludf.DUMMYFUNCTION("""COMPUTED_VALUE"""),45684.0)</f>
        <v>45684</v>
      </c>
      <c r="D246" s="3">
        <f>IFERROR(__xludf.DUMMYFUNCTION("""COMPUTED_VALUE"""),59.0)</f>
        <v>59</v>
      </c>
      <c r="E246" s="3">
        <f>IFERROR(__xludf.DUMMYFUNCTION("""COMPUTED_VALUE"""),49914.0)</f>
        <v>49914</v>
      </c>
      <c r="F246" s="3" t="str">
        <f>IFERROR(__xludf.DUMMYFUNCTION("""COMPUTED_VALUE"""),"GBP")</f>
        <v>GBP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 t="str">
        <f>IFERROR(__xludf.DUMMYFUNCTION("""COMPUTED_VALUE"""),"6498c12c-5d53-4234-a952-d669f5da80c5")</f>
        <v>6498c12c-5d53-4234-a952-d669f5da80c5</v>
      </c>
      <c r="B247" s="3" t="str">
        <f>IFERROR(__xludf.DUMMYFUNCTION("""COMPUTED_VALUE"""),"London")</f>
        <v>London</v>
      </c>
      <c r="C247" s="4">
        <f>IFERROR(__xludf.DUMMYFUNCTION("""COMPUTED_VALUE"""),45684.0)</f>
        <v>45684</v>
      </c>
      <c r="D247" s="3">
        <f>IFERROR(__xludf.DUMMYFUNCTION("""COMPUTED_VALUE"""),56.0)</f>
        <v>56</v>
      </c>
      <c r="E247" s="3">
        <f>IFERROR(__xludf.DUMMYFUNCTION("""COMPUTED_VALUE"""),40096.0)</f>
        <v>40096</v>
      </c>
      <c r="F247" s="3" t="str">
        <f>IFERROR(__xludf.DUMMYFUNCTION("""COMPUTED_VALUE"""),"GBP")</f>
        <v>GBP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 t="str">
        <f>IFERROR(__xludf.DUMMYFUNCTION("""COMPUTED_VALUE"""),"436b5a18-871b-4f5c-8378-02bc71c62ae8")</f>
        <v>436b5a18-871b-4f5c-8378-02bc71c62ae8</v>
      </c>
      <c r="B248" s="3" t="str">
        <f>IFERROR(__xludf.DUMMYFUNCTION("""COMPUTED_VALUE"""),"Liverpool")</f>
        <v>Liverpool</v>
      </c>
      <c r="C248" s="4">
        <f>IFERROR(__xludf.DUMMYFUNCTION("""COMPUTED_VALUE"""),45684.0)</f>
        <v>45684</v>
      </c>
      <c r="D248" s="3">
        <f>IFERROR(__xludf.DUMMYFUNCTION("""COMPUTED_VALUE"""),63.0)</f>
        <v>63</v>
      </c>
      <c r="E248" s="3">
        <f>IFERROR(__xludf.DUMMYFUNCTION("""COMPUTED_VALUE"""),65205.0)</f>
        <v>65205</v>
      </c>
      <c r="F248" s="3" t="str">
        <f>IFERROR(__xludf.DUMMYFUNCTION("""COMPUTED_VALUE"""),"GBP")</f>
        <v>GBP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 t="str">
        <f>IFERROR(__xludf.DUMMYFUNCTION("""COMPUTED_VALUE"""),"7761bfe5-39d2-4335-8a22-c83f154b724x")</f>
        <v>7761bfe5-39d2-4335-8a22-c83f154b724x</v>
      </c>
      <c r="B249" s="3" t="str">
        <f>IFERROR(__xludf.DUMMYFUNCTION("""COMPUTED_VALUE"""),"Bristol")</f>
        <v>Bristol</v>
      </c>
      <c r="C249" s="4">
        <f>IFERROR(__xludf.DUMMYFUNCTION("""COMPUTED_VALUE"""),45684.0)</f>
        <v>45684</v>
      </c>
      <c r="D249" s="3">
        <f>IFERROR(__xludf.DUMMYFUNCTION("""COMPUTED_VALUE"""),63.0)</f>
        <v>63</v>
      </c>
      <c r="E249" s="3">
        <f>IFERROR(__xludf.DUMMYFUNCTION("""COMPUTED_VALUE"""),60102.0)</f>
        <v>60102</v>
      </c>
      <c r="F249" s="3" t="str">
        <f>IFERROR(__xludf.DUMMYFUNCTION("""COMPUTED_VALUE"""),"GBP")</f>
        <v>GBP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 t="str">
        <f>IFERROR(__xludf.DUMMYFUNCTION("""COMPUTED_VALUE"""),"66731b86-79d3-43ff-bb4a-8cab4f55bdb3")</f>
        <v>66731b86-79d3-43ff-bb4a-8cab4f55bdb3</v>
      </c>
      <c r="B250" s="3" t="str">
        <f>IFERROR(__xludf.DUMMYFUNCTION("""COMPUTED_VALUE"""),"Toulouse")</f>
        <v>Toulouse</v>
      </c>
      <c r="C250" s="4">
        <f>IFERROR(__xludf.DUMMYFUNCTION("""COMPUTED_VALUE"""),45663.0)</f>
        <v>45663</v>
      </c>
      <c r="D250" s="3">
        <f>IFERROR(__xludf.DUMMYFUNCTION("""COMPUTED_VALUE"""),63.0)</f>
        <v>63</v>
      </c>
      <c r="E250" s="3">
        <f>IFERROR(__xludf.DUMMYFUNCTION("""COMPUTED_VALUE"""),61236.0)</f>
        <v>61236</v>
      </c>
      <c r="F250" s="3" t="str">
        <f>IFERROR(__xludf.DUMMYFUNCTION("""COMPUTED_VALUE"""),"EUR")</f>
        <v>EUR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 t="str">
        <f>IFERROR(__xludf.DUMMYFUNCTION("""COMPUTED_VALUE"""),"8eb5501b-0ee3-40bc-8f4e-1f8fd7a6adeb")</f>
        <v>8eb5501b-0ee3-40bc-8f4e-1f8fd7a6adeb</v>
      </c>
      <c r="B251" s="3" t="str">
        <f>IFERROR(__xludf.DUMMYFUNCTION("""COMPUTED_VALUE"""),"Lille")</f>
        <v>Lille</v>
      </c>
      <c r="C251" s="4">
        <f>IFERROR(__xludf.DUMMYFUNCTION("""COMPUTED_VALUE"""),45663.0)</f>
        <v>45663</v>
      </c>
      <c r="D251" s="3">
        <f>IFERROR(__xludf.DUMMYFUNCTION("""COMPUTED_VALUE"""),60.0)</f>
        <v>60</v>
      </c>
      <c r="E251" s="3">
        <f>IFERROR(__xludf.DUMMYFUNCTION("""COMPUTED_VALUE"""),47700.0)</f>
        <v>47700</v>
      </c>
      <c r="F251" s="3" t="str">
        <f>IFERROR(__xludf.DUMMYFUNCTION("""COMPUTED_VALUE"""),"EUR")</f>
        <v>EUR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 t="str">
        <f>IFERROR(__xludf.DUMMYFUNCTION("""COMPUTED_VALUE"""),"0c541de3-59fb-4358-bed9-323f180800d4")</f>
        <v>0c541de3-59fb-4358-bed9-323f180800d4</v>
      </c>
      <c r="B252" s="3" t="str">
        <f>IFERROR(__xludf.DUMMYFUNCTION("""COMPUTED_VALUE"""),"Lille")</f>
        <v>Lille</v>
      </c>
      <c r="C252" s="4">
        <f>IFERROR(__xludf.DUMMYFUNCTION("""COMPUTED_VALUE"""),45663.0)</f>
        <v>45663</v>
      </c>
      <c r="D252" s="3">
        <f>IFERROR(__xludf.DUMMYFUNCTION("""COMPUTED_VALUE"""),67.0)</f>
        <v>67</v>
      </c>
      <c r="E252" s="3">
        <f>IFERROR(__xludf.DUMMYFUNCTION("""COMPUTED_VALUE"""),67737.0)</f>
        <v>67737</v>
      </c>
      <c r="F252" s="3" t="str">
        <f>IFERROR(__xludf.DUMMYFUNCTION("""COMPUTED_VALUE"""),"EUR")</f>
        <v>EUR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 t="str">
        <f>IFERROR(__xludf.DUMMYFUNCTION("""COMPUTED_VALUE"""),"5d6b1cdc-4f73-4ba0-a5ba-210109d7266a")</f>
        <v>5d6b1cdc-4f73-4ba0-a5ba-210109d7266a</v>
      </c>
      <c r="B253" s="3" t="str">
        <f>IFERROR(__xludf.DUMMYFUNCTION("""COMPUTED_VALUE"""),"Paris")</f>
        <v>Paris</v>
      </c>
      <c r="C253" s="4">
        <f>IFERROR(__xludf.DUMMYFUNCTION("""COMPUTED_VALUE"""),45663.0)</f>
        <v>45663</v>
      </c>
      <c r="D253" s="3">
        <f>IFERROR(__xludf.DUMMYFUNCTION("""COMPUTED_VALUE"""),55.0)</f>
        <v>55</v>
      </c>
      <c r="E253" s="3">
        <f>IFERROR(__xludf.DUMMYFUNCTION("""COMPUTED_VALUE"""),47575.0)</f>
        <v>47575</v>
      </c>
      <c r="F253" s="3" t="str">
        <f>IFERROR(__xludf.DUMMYFUNCTION("""COMPUTED_VALUE"""),"EUR")</f>
        <v>EUR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 t="str">
        <f>IFERROR(__xludf.DUMMYFUNCTION("""COMPUTED_VALUE"""),"cc4f6bd7-537c-4981-9809-459049725c0c")</f>
        <v>cc4f6bd7-537c-4981-9809-459049725c0c</v>
      </c>
      <c r="B254" s="3" t="str">
        <f>IFERROR(__xludf.DUMMYFUNCTION("""COMPUTED_VALUE"""),"Bordeaux")</f>
        <v>Bordeaux</v>
      </c>
      <c r="C254" s="4">
        <f>IFERROR(__xludf.DUMMYFUNCTION("""COMPUTED_VALUE"""),45663.0)</f>
        <v>45663</v>
      </c>
      <c r="D254" s="3">
        <f>IFERROR(__xludf.DUMMYFUNCTION("""COMPUTED_VALUE"""),51.0)</f>
        <v>51</v>
      </c>
      <c r="E254" s="3">
        <f>IFERROR(__xludf.DUMMYFUNCTION("""COMPUTED_VALUE"""),42432.0)</f>
        <v>42432</v>
      </c>
      <c r="F254" s="3" t="str">
        <f>IFERROR(__xludf.DUMMYFUNCTION("""COMPUTED_VALUE"""),"EUR")</f>
        <v>EUR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 t="str">
        <f>IFERROR(__xludf.DUMMYFUNCTION("""COMPUTED_VALUE"""),"1ae178b9-5a92-4ce6-9cd2-0536ac786ff1")</f>
        <v>1ae178b9-5a92-4ce6-9cd2-0536ac786ff1</v>
      </c>
      <c r="B255" s="3" t="str">
        <f>IFERROR(__xludf.DUMMYFUNCTION("""COMPUTED_VALUE"""),"Nantes")</f>
        <v>Nantes</v>
      </c>
      <c r="C255" s="4">
        <f>IFERROR(__xludf.DUMMYFUNCTION("""COMPUTED_VALUE"""),45663.0)</f>
        <v>45663</v>
      </c>
      <c r="D255" s="3">
        <f>IFERROR(__xludf.DUMMYFUNCTION("""COMPUTED_VALUE"""),59.0)</f>
        <v>59</v>
      </c>
      <c r="E255" s="3">
        <f>IFERROR(__xludf.DUMMYFUNCTION("""COMPUTED_VALUE"""),42126.0)</f>
        <v>42126</v>
      </c>
      <c r="F255" s="3" t="str">
        <f>IFERROR(__xludf.DUMMYFUNCTION("""COMPUTED_VALUE"""),"EUR")</f>
        <v>EUR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 t="str">
        <f>IFERROR(__xludf.DUMMYFUNCTION("""COMPUTED_VALUE"""),"288a151f-5c54-4b43-a969-72705bf13710")</f>
        <v>288a151f-5c54-4b43-a969-72705bf13710</v>
      </c>
      <c r="B256" s="3" t="str">
        <f>IFERROR(__xludf.DUMMYFUNCTION("""COMPUTED_VALUE"""),"Nantes")</f>
        <v>Nantes</v>
      </c>
      <c r="C256" s="4">
        <f>IFERROR(__xludf.DUMMYFUNCTION("""COMPUTED_VALUE"""),45663.0)</f>
        <v>45663</v>
      </c>
      <c r="D256" s="3">
        <f>IFERROR(__xludf.DUMMYFUNCTION("""COMPUTED_VALUE"""),56.0)</f>
        <v>56</v>
      </c>
      <c r="E256" s="3">
        <f>IFERROR(__xludf.DUMMYFUNCTION("""COMPUTED_VALUE"""),42560.0)</f>
        <v>42560</v>
      </c>
      <c r="F256" s="3" t="str">
        <f>IFERROR(__xludf.DUMMYFUNCTION("""COMPUTED_VALUE"""),"EUR")</f>
        <v>EUR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 t="str">
        <f>IFERROR(__xludf.DUMMYFUNCTION("""COMPUTED_VALUE"""),"ae372fb4-0d5b-4afd-bbf9-7a58454d9372")</f>
        <v>ae372fb4-0d5b-4afd-bbf9-7a58454d9372</v>
      </c>
      <c r="B257" s="3" t="str">
        <f>IFERROR(__xludf.DUMMYFUNCTION("""COMPUTED_VALUE"""),"Nantes")</f>
        <v>Nantes</v>
      </c>
      <c r="C257" s="4">
        <f>IFERROR(__xludf.DUMMYFUNCTION("""COMPUTED_VALUE"""),45663.0)</f>
        <v>45663</v>
      </c>
      <c r="D257" s="3">
        <f>IFERROR(__xludf.DUMMYFUNCTION("""COMPUTED_VALUE"""),55.0)</f>
        <v>55</v>
      </c>
      <c r="E257" s="3">
        <f>IFERROR(__xludf.DUMMYFUNCTION("""COMPUTED_VALUE"""),44220.0)</f>
        <v>44220</v>
      </c>
      <c r="F257" s="3" t="str">
        <f>IFERROR(__xludf.DUMMYFUNCTION("""COMPUTED_VALUE"""),"EUR")</f>
        <v>EUR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 t="str">
        <f>IFERROR(__xludf.DUMMYFUNCTION("""COMPUTED_VALUE"""),"3c2fd31a-f104-402e-ad65-b6d613bb072a")</f>
        <v>3c2fd31a-f104-402e-ad65-b6d613bb072a</v>
      </c>
      <c r="B258" s="3" t="str">
        <f>IFERROR(__xludf.DUMMYFUNCTION("""COMPUTED_VALUE"""),"Bordeaux")</f>
        <v>Bordeaux</v>
      </c>
      <c r="C258" s="4">
        <f>IFERROR(__xludf.DUMMYFUNCTION("""COMPUTED_VALUE"""),45663.0)</f>
        <v>45663</v>
      </c>
      <c r="D258" s="3">
        <f>IFERROR(__xludf.DUMMYFUNCTION("""COMPUTED_VALUE"""),65.0)</f>
        <v>65</v>
      </c>
      <c r="E258" s="3">
        <f>IFERROR(__xludf.DUMMYFUNCTION("""COMPUTED_VALUE"""),62010.0)</f>
        <v>62010</v>
      </c>
      <c r="F258" s="3" t="str">
        <f>IFERROR(__xludf.DUMMYFUNCTION("""COMPUTED_VALUE"""),"EUR")</f>
        <v>EUR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 t="str">
        <f>IFERROR(__xludf.DUMMYFUNCTION("""COMPUTED_VALUE"""),"001dc755-ba87-47ac-8464-47e6c7fb9ed0")</f>
        <v>001dc755-ba87-47ac-8464-47e6c7fb9ed0</v>
      </c>
      <c r="B259" s="3" t="str">
        <f>IFERROR(__xludf.DUMMYFUNCTION("""COMPUTED_VALUE"""),"Nantes")</f>
        <v>Nantes</v>
      </c>
      <c r="C259" s="4">
        <f>IFERROR(__xludf.DUMMYFUNCTION("""COMPUTED_VALUE"""),45663.0)</f>
        <v>45663</v>
      </c>
      <c r="D259" s="3">
        <f>IFERROR(__xludf.DUMMYFUNCTION("""COMPUTED_VALUE"""),67.0)</f>
        <v>67</v>
      </c>
      <c r="E259" s="3">
        <f>IFERROR(__xludf.DUMMYFUNCTION("""COMPUTED_VALUE"""),65459.0)</f>
        <v>65459</v>
      </c>
      <c r="F259" s="3" t="str">
        <f>IFERROR(__xludf.DUMMYFUNCTION("""COMPUTED_VALUE"""),"EUR")</f>
        <v>EUR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 t="str">
        <f>IFERROR(__xludf.DUMMYFUNCTION("""COMPUTED_VALUE"""),"c1dcd5c1-7dc0-4c3d-89f3-110318f0c8f0")</f>
        <v>c1dcd5c1-7dc0-4c3d-89f3-110318f0c8f0</v>
      </c>
      <c r="B260" s="3" t="str">
        <f>IFERROR(__xludf.DUMMYFUNCTION("""COMPUTED_VALUE"""),"Toulouse")</f>
        <v>Toulouse</v>
      </c>
      <c r="C260" s="4">
        <f>IFERROR(__xludf.DUMMYFUNCTION("""COMPUTED_VALUE"""),45663.0)</f>
        <v>45663</v>
      </c>
      <c r="D260" s="3">
        <f>IFERROR(__xludf.DUMMYFUNCTION("""COMPUTED_VALUE"""),64.0)</f>
        <v>64</v>
      </c>
      <c r="E260" s="3">
        <f>IFERROR(__xludf.DUMMYFUNCTION("""COMPUTED_VALUE"""),61504.0)</f>
        <v>61504</v>
      </c>
      <c r="F260" s="3" t="str">
        <f>IFERROR(__xludf.DUMMYFUNCTION("""COMPUTED_VALUE"""),"EUR")</f>
        <v>EUR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 t="str">
        <f>IFERROR(__xludf.DUMMYFUNCTION("""COMPUTED_VALUE"""),"d48a4781-9cb4-4a88-bc67-0a8276d6f675")</f>
        <v>d48a4781-9cb4-4a88-bc67-0a8276d6f675</v>
      </c>
      <c r="B261" s="3" t="str">
        <f>IFERROR(__xludf.DUMMYFUNCTION("""COMPUTED_VALUE"""),"Toulouse")</f>
        <v>Toulouse</v>
      </c>
      <c r="C261" s="4">
        <f>IFERROR(__xludf.DUMMYFUNCTION("""COMPUTED_VALUE"""),45663.0)</f>
        <v>45663</v>
      </c>
      <c r="D261" s="3">
        <f>IFERROR(__xludf.DUMMYFUNCTION("""COMPUTED_VALUE"""),56.0)</f>
        <v>56</v>
      </c>
      <c r="E261" s="3">
        <f>IFERROR(__xludf.DUMMYFUNCTION("""COMPUTED_VALUE"""),45416.0)</f>
        <v>45416</v>
      </c>
      <c r="F261" s="3" t="str">
        <f>IFERROR(__xludf.DUMMYFUNCTION("""COMPUTED_VALUE"""),"EUR")</f>
        <v>EUR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 t="str">
        <f>IFERROR(__xludf.DUMMYFUNCTION("""COMPUTED_VALUE"""),"734cafc0-e649-47f7-ae9b-4cc025061a19")</f>
        <v>734cafc0-e649-47f7-ae9b-4cc025061a19</v>
      </c>
      <c r="B262" s="3" t="str">
        <f>IFERROR(__xludf.DUMMYFUNCTION("""COMPUTED_VALUE"""),"Paris")</f>
        <v>Paris</v>
      </c>
      <c r="C262" s="4">
        <f>IFERROR(__xludf.DUMMYFUNCTION("""COMPUTED_VALUE"""),45663.0)</f>
        <v>45663</v>
      </c>
      <c r="D262" s="3">
        <f>IFERROR(__xludf.DUMMYFUNCTION("""COMPUTED_VALUE"""),54.0)</f>
        <v>54</v>
      </c>
      <c r="E262" s="3">
        <f>IFERROR(__xludf.DUMMYFUNCTION("""COMPUTED_VALUE"""),38340.0)</f>
        <v>38340</v>
      </c>
      <c r="F262" s="3" t="str">
        <f>IFERROR(__xludf.DUMMYFUNCTION("""COMPUTED_VALUE"""),"EUR")</f>
        <v>EUR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 t="str">
        <f>IFERROR(__xludf.DUMMYFUNCTION("""COMPUTED_VALUE"""),"aa6583d6-5de2-4ad9-8472-db89f8696ee6")</f>
        <v>aa6583d6-5de2-4ad9-8472-db89f8696ee6</v>
      </c>
      <c r="B263" s="3" t="str">
        <f>IFERROR(__xludf.DUMMYFUNCTION("""COMPUTED_VALUE"""),"Nantes")</f>
        <v>Nantes</v>
      </c>
      <c r="C263" s="4">
        <f>IFERROR(__xludf.DUMMYFUNCTION("""COMPUTED_VALUE"""),45663.0)</f>
        <v>45663</v>
      </c>
      <c r="D263" s="3">
        <f>IFERROR(__xludf.DUMMYFUNCTION("""COMPUTED_VALUE"""),69.0)</f>
        <v>69</v>
      </c>
      <c r="E263" s="3">
        <f>IFERROR(__xludf.DUMMYFUNCTION("""COMPUTED_VALUE"""),64860.0)</f>
        <v>64860</v>
      </c>
      <c r="F263" s="3" t="str">
        <f>IFERROR(__xludf.DUMMYFUNCTION("""COMPUTED_VALUE"""),"EUR")</f>
        <v>EUR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 t="str">
        <f>IFERROR(__xludf.DUMMYFUNCTION("""COMPUTED_VALUE"""),"dee6e575-7ce1-464f-9ac0-7f7487b241e4")</f>
        <v>dee6e575-7ce1-464f-9ac0-7f7487b241e4</v>
      </c>
      <c r="B264" s="3" t="str">
        <f>IFERROR(__xludf.DUMMYFUNCTION("""COMPUTED_VALUE"""),"Nantes")</f>
        <v>Nantes</v>
      </c>
      <c r="C264" s="4">
        <f>IFERROR(__xludf.DUMMYFUNCTION("""COMPUTED_VALUE"""),45663.0)</f>
        <v>45663</v>
      </c>
      <c r="D264" s="3">
        <f>IFERROR(__xludf.DUMMYFUNCTION("""COMPUTED_VALUE"""),66.0)</f>
        <v>66</v>
      </c>
      <c r="E264" s="3">
        <f>IFERROR(__xludf.DUMMYFUNCTION("""COMPUTED_VALUE"""),59598.0)</f>
        <v>59598</v>
      </c>
      <c r="F264" s="3" t="str">
        <f>IFERROR(__xludf.DUMMYFUNCTION("""COMPUTED_VALUE"""),"EUR")</f>
        <v>EUR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 t="str">
        <f>IFERROR(__xludf.DUMMYFUNCTION("""COMPUTED_VALUE"""),"22c62867-249a-4f5f-b2a5-1bb97765c3b7")</f>
        <v>22c62867-249a-4f5f-b2a5-1bb97765c3b7</v>
      </c>
      <c r="B265" s="3" t="str">
        <f>IFERROR(__xludf.DUMMYFUNCTION("""COMPUTED_VALUE"""),"Bordeaux")</f>
        <v>Bordeaux</v>
      </c>
      <c r="C265" s="4">
        <f>IFERROR(__xludf.DUMMYFUNCTION("""COMPUTED_VALUE"""),45663.0)</f>
        <v>45663</v>
      </c>
      <c r="D265" s="3">
        <f>IFERROR(__xludf.DUMMYFUNCTION("""COMPUTED_VALUE"""),64.0)</f>
        <v>64</v>
      </c>
      <c r="E265" s="3">
        <f>IFERROR(__xludf.DUMMYFUNCTION("""COMPUTED_VALUE"""),59456.0)</f>
        <v>59456</v>
      </c>
      <c r="F265" s="3" t="str">
        <f>IFERROR(__xludf.DUMMYFUNCTION("""COMPUTED_VALUE"""),"EUR")</f>
        <v>EUR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 t="str">
        <f>IFERROR(__xludf.DUMMYFUNCTION("""COMPUTED_VALUE"""),"2d6e61e0-9865-4cdb-b86f-48eacaecf896")</f>
        <v>2d6e61e0-9865-4cdb-b86f-48eacaecf896</v>
      </c>
      <c r="B266" s="3" t="str">
        <f>IFERROR(__xludf.DUMMYFUNCTION("""COMPUTED_VALUE"""),"Bordeaux")</f>
        <v>Bordeaux</v>
      </c>
      <c r="C266" s="4">
        <f>IFERROR(__xludf.DUMMYFUNCTION("""COMPUTED_VALUE"""),45663.0)</f>
        <v>45663</v>
      </c>
      <c r="D266" s="3">
        <f>IFERROR(__xludf.DUMMYFUNCTION("""COMPUTED_VALUE"""),70.0)</f>
        <v>70</v>
      </c>
      <c r="E266" s="3">
        <f>IFERROR(__xludf.DUMMYFUNCTION("""COMPUTED_VALUE"""),73360.0)</f>
        <v>73360</v>
      </c>
      <c r="F266" s="3" t="str">
        <f>IFERROR(__xludf.DUMMYFUNCTION("""COMPUTED_VALUE"""),"EUR")</f>
        <v>EUR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 t="str">
        <f>IFERROR(__xludf.DUMMYFUNCTION("""COMPUTED_VALUE"""),"b3aa4a39-8c7d-480e-951a-df805c211e46")</f>
        <v>b3aa4a39-8c7d-480e-951a-df805c211e46</v>
      </c>
      <c r="B267" s="3" t="str">
        <f>IFERROR(__xludf.DUMMYFUNCTION("""COMPUTED_VALUE"""),"Bordeaux")</f>
        <v>Bordeaux</v>
      </c>
      <c r="C267" s="4">
        <f>IFERROR(__xludf.DUMMYFUNCTION("""COMPUTED_VALUE"""),45663.0)</f>
        <v>45663</v>
      </c>
      <c r="D267" s="3">
        <f>IFERROR(__xludf.DUMMYFUNCTION("""COMPUTED_VALUE"""),57.0)</f>
        <v>57</v>
      </c>
      <c r="E267" s="3">
        <f>IFERROR(__xludf.DUMMYFUNCTION("""COMPUTED_VALUE"""),42180.0)</f>
        <v>42180</v>
      </c>
      <c r="F267" s="3" t="str">
        <f>IFERROR(__xludf.DUMMYFUNCTION("""COMPUTED_VALUE"""),"EUR")</f>
        <v>EUR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 t="str">
        <f>IFERROR(__xludf.DUMMYFUNCTION("""COMPUTED_VALUE"""),"194474c1-7c19-46f7-8dec-f71591a6965f")</f>
        <v>194474c1-7c19-46f7-8dec-f71591a6965f</v>
      </c>
      <c r="B268" s="3" t="str">
        <f>IFERROR(__xludf.DUMMYFUNCTION("""COMPUTED_VALUE"""),"Lille")</f>
        <v>Lille</v>
      </c>
      <c r="C268" s="4">
        <f>IFERROR(__xludf.DUMMYFUNCTION("""COMPUTED_VALUE"""),45663.0)</f>
        <v>45663</v>
      </c>
      <c r="D268" s="3">
        <f>IFERROR(__xludf.DUMMYFUNCTION("""COMPUTED_VALUE"""),59.0)</f>
        <v>59</v>
      </c>
      <c r="E268" s="3">
        <f>IFERROR(__xludf.DUMMYFUNCTION("""COMPUTED_VALUE"""),52392.0)</f>
        <v>52392</v>
      </c>
      <c r="F268" s="3" t="str">
        <f>IFERROR(__xludf.DUMMYFUNCTION("""COMPUTED_VALUE"""),"EUR")</f>
        <v>EUR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 t="str">
        <f>IFERROR(__xludf.DUMMYFUNCTION("""COMPUTED_VALUE"""),"fad769ad-ca83-4ecd-9789-787625b5ad01")</f>
        <v>fad769ad-ca83-4ecd-9789-787625b5ad01</v>
      </c>
      <c r="B269" s="3" t="str">
        <f>IFERROR(__xludf.DUMMYFUNCTION("""COMPUTED_VALUE"""),"Nantes")</f>
        <v>Nantes</v>
      </c>
      <c r="C269" s="4">
        <f>IFERROR(__xludf.DUMMYFUNCTION("""COMPUTED_VALUE"""),45663.0)</f>
        <v>45663</v>
      </c>
      <c r="D269" s="3">
        <f>IFERROR(__xludf.DUMMYFUNCTION("""COMPUTED_VALUE"""),54.0)</f>
        <v>54</v>
      </c>
      <c r="E269" s="3">
        <f>IFERROR(__xludf.DUMMYFUNCTION("""COMPUTED_VALUE"""),38772.0)</f>
        <v>38772</v>
      </c>
      <c r="F269" s="3" t="str">
        <f>IFERROR(__xludf.DUMMYFUNCTION("""COMPUTED_VALUE"""),"EUR")</f>
        <v>EUR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 t="str">
        <f>IFERROR(__xludf.DUMMYFUNCTION("""COMPUTED_VALUE"""),"eb0bd060-3e80-4760-a7c8-f406e63b21e8")</f>
        <v>eb0bd060-3e80-4760-a7c8-f406e63b21e8</v>
      </c>
      <c r="B270" s="3" t="str">
        <f>IFERROR(__xludf.DUMMYFUNCTION("""COMPUTED_VALUE"""),"Nantes")</f>
        <v>Nantes</v>
      </c>
      <c r="C270" s="4">
        <f>IFERROR(__xludf.DUMMYFUNCTION("""COMPUTED_VALUE"""),45663.0)</f>
        <v>45663</v>
      </c>
      <c r="D270" s="3">
        <f>IFERROR(__xludf.DUMMYFUNCTION("""COMPUTED_VALUE"""),60.0)</f>
        <v>60</v>
      </c>
      <c r="E270" s="3">
        <f>IFERROR(__xludf.DUMMYFUNCTION("""COMPUTED_VALUE"""),42000.0)</f>
        <v>42000</v>
      </c>
      <c r="F270" s="3" t="str">
        <f>IFERROR(__xludf.DUMMYFUNCTION("""COMPUTED_VALUE"""),"EUR")</f>
        <v>EUR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 t="str">
        <f>IFERROR(__xludf.DUMMYFUNCTION("""COMPUTED_VALUE"""),"50044743-5d1e-4272-a3f2-8907033f0f5f")</f>
        <v>50044743-5d1e-4272-a3f2-8907033f0f5f</v>
      </c>
      <c r="B271" s="3" t="str">
        <f>IFERROR(__xludf.DUMMYFUNCTION("""COMPUTED_VALUE"""),"Nantes")</f>
        <v>Nantes</v>
      </c>
      <c r="C271" s="4">
        <f>IFERROR(__xludf.DUMMYFUNCTION("""COMPUTED_VALUE"""),45663.0)</f>
        <v>45663</v>
      </c>
      <c r="D271" s="3">
        <f>IFERROR(__xludf.DUMMYFUNCTION("""COMPUTED_VALUE"""),52.0)</f>
        <v>52</v>
      </c>
      <c r="E271" s="3">
        <f>IFERROR(__xludf.DUMMYFUNCTION("""COMPUTED_VALUE"""),40040.0)</f>
        <v>40040</v>
      </c>
      <c r="F271" s="3" t="str">
        <f>IFERROR(__xludf.DUMMYFUNCTION("""COMPUTED_VALUE"""),"EUR")</f>
        <v>EUR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 t="str">
        <f>IFERROR(__xludf.DUMMYFUNCTION("""COMPUTED_VALUE"""),"34051478-ed34-4deb-bc6f-4577a222ae4a")</f>
        <v>34051478-ed34-4deb-bc6f-4577a222ae4a</v>
      </c>
      <c r="B272" s="3" t="str">
        <f>IFERROR(__xludf.DUMMYFUNCTION("""COMPUTED_VALUE"""),"Lille")</f>
        <v>Lille</v>
      </c>
      <c r="C272" s="4">
        <f>IFERROR(__xludf.DUMMYFUNCTION("""COMPUTED_VALUE"""),45663.0)</f>
        <v>45663</v>
      </c>
      <c r="D272" s="3">
        <f>IFERROR(__xludf.DUMMYFUNCTION("""COMPUTED_VALUE"""),67.0)</f>
        <v>67</v>
      </c>
      <c r="E272" s="3">
        <f>IFERROR(__xludf.DUMMYFUNCTION("""COMPUTED_VALUE"""),65660.0)</f>
        <v>65660</v>
      </c>
      <c r="F272" s="3" t="str">
        <f>IFERROR(__xludf.DUMMYFUNCTION("""COMPUTED_VALUE"""),"EUR")</f>
        <v>EUR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 t="str">
        <f>IFERROR(__xludf.DUMMYFUNCTION("""COMPUTED_VALUE"""),"91df809a-ae78-47aa-a618-f23df1319988")</f>
        <v>91df809a-ae78-47aa-a618-f23df1319988</v>
      </c>
      <c r="B273" s="3" t="str">
        <f>IFERROR(__xludf.DUMMYFUNCTION("""COMPUTED_VALUE"""),"Lille")</f>
        <v>Lille</v>
      </c>
      <c r="C273" s="4">
        <f>IFERROR(__xludf.DUMMYFUNCTION("""COMPUTED_VALUE"""),45663.0)</f>
        <v>45663</v>
      </c>
      <c r="D273" s="3">
        <f>IFERROR(__xludf.DUMMYFUNCTION("""COMPUTED_VALUE"""),59.0)</f>
        <v>59</v>
      </c>
      <c r="E273" s="3">
        <f>IFERROR(__xludf.DUMMYFUNCTION("""COMPUTED_VALUE"""),47200.0)</f>
        <v>47200</v>
      </c>
      <c r="F273" s="3" t="str">
        <f>IFERROR(__xludf.DUMMYFUNCTION("""COMPUTED_VALUE"""),"EUR")</f>
        <v>EUR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 t="str">
        <f>IFERROR(__xludf.DUMMYFUNCTION("""COMPUTED_VALUE"""),"4d397b3b-5009-49ed-9ce0-856e9cd423a0")</f>
        <v>4d397b3b-5009-49ed-9ce0-856e9cd423a0</v>
      </c>
      <c r="B274" s="3" t="str">
        <f>IFERROR(__xludf.DUMMYFUNCTION("""COMPUTED_VALUE"""),"Paris")</f>
        <v>Paris</v>
      </c>
      <c r="C274" s="4">
        <f>IFERROR(__xludf.DUMMYFUNCTION("""COMPUTED_VALUE"""),45663.0)</f>
        <v>45663</v>
      </c>
      <c r="D274" s="3">
        <f>IFERROR(__xludf.DUMMYFUNCTION("""COMPUTED_VALUE"""),66.0)</f>
        <v>66</v>
      </c>
      <c r="E274" s="3">
        <f>IFERROR(__xludf.DUMMYFUNCTION("""COMPUTED_VALUE"""),60060.0)</f>
        <v>60060</v>
      </c>
      <c r="F274" s="3" t="str">
        <f>IFERROR(__xludf.DUMMYFUNCTION("""COMPUTED_VALUE"""),"EUR")</f>
        <v>EUR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 t="str">
        <f>IFERROR(__xludf.DUMMYFUNCTION("""COMPUTED_VALUE"""),"61b5e379-18f0-4751-8442-eb1726fd90d0")</f>
        <v>61b5e379-18f0-4751-8442-eb1726fd90d0</v>
      </c>
      <c r="B275" s="3" t="str">
        <f>IFERROR(__xludf.DUMMYFUNCTION("""COMPUTED_VALUE"""),"Nantes")</f>
        <v>Nantes</v>
      </c>
      <c r="C275" s="4">
        <f>IFERROR(__xludf.DUMMYFUNCTION("""COMPUTED_VALUE"""),45663.0)</f>
        <v>45663</v>
      </c>
      <c r="D275" s="3">
        <f>IFERROR(__xludf.DUMMYFUNCTION("""COMPUTED_VALUE"""),53.0)</f>
        <v>53</v>
      </c>
      <c r="E275" s="3">
        <f>IFERROR(__xludf.DUMMYFUNCTION("""COMPUTED_VALUE"""),38796.0)</f>
        <v>38796</v>
      </c>
      <c r="F275" s="3" t="str">
        <f>IFERROR(__xludf.DUMMYFUNCTION("""COMPUTED_VALUE"""),"EUR")</f>
        <v>EUR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 t="str">
        <f>IFERROR(__xludf.DUMMYFUNCTION("""COMPUTED_VALUE"""),"538a5ca2-c53b-47b4-b8da-2c8ec1c95078")</f>
        <v>538a5ca2-c53b-47b4-b8da-2c8ec1c95078</v>
      </c>
      <c r="B276" s="3" t="str">
        <f>IFERROR(__xludf.DUMMYFUNCTION("""COMPUTED_VALUE"""),"Bordeaux")</f>
        <v>Bordeaux</v>
      </c>
      <c r="C276" s="4">
        <f>IFERROR(__xludf.DUMMYFUNCTION("""COMPUTED_VALUE"""),45663.0)</f>
        <v>45663</v>
      </c>
      <c r="D276" s="3">
        <f>IFERROR(__xludf.DUMMYFUNCTION("""COMPUTED_VALUE"""),59.0)</f>
        <v>59</v>
      </c>
      <c r="E276" s="3">
        <f>IFERROR(__xludf.DUMMYFUNCTION("""COMPUTED_VALUE"""),45371.0)</f>
        <v>45371</v>
      </c>
      <c r="F276" s="3" t="str">
        <f>IFERROR(__xludf.DUMMYFUNCTION("""COMPUTED_VALUE"""),"EUR")</f>
        <v>EUR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 t="str">
        <f>IFERROR(__xludf.DUMMYFUNCTION("""COMPUTED_VALUE"""),"854ff8a4-34aa-4ec0-9672-7bb66e1bb909")</f>
        <v>854ff8a4-34aa-4ec0-9672-7bb66e1bb909</v>
      </c>
      <c r="B277" s="3" t="str">
        <f>IFERROR(__xludf.DUMMYFUNCTION("""COMPUTED_VALUE"""),"Nantes")</f>
        <v>Nantes</v>
      </c>
      <c r="C277" s="4">
        <f>IFERROR(__xludf.DUMMYFUNCTION("""COMPUTED_VALUE"""),45663.0)</f>
        <v>45663</v>
      </c>
      <c r="D277" s="3">
        <f>IFERROR(__xludf.DUMMYFUNCTION("""COMPUTED_VALUE"""),61.0)</f>
        <v>61</v>
      </c>
      <c r="E277" s="3">
        <f>IFERROR(__xludf.DUMMYFUNCTION("""COMPUTED_VALUE"""),60451.0)</f>
        <v>60451</v>
      </c>
      <c r="F277" s="3" t="str">
        <f>IFERROR(__xludf.DUMMYFUNCTION("""COMPUTED_VALUE"""),"EUR")</f>
        <v>EUR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 t="str">
        <f>IFERROR(__xludf.DUMMYFUNCTION("""COMPUTED_VALUE"""),"fe832000-15ce-471f-a1b1-449f3c280fee")</f>
        <v>fe832000-15ce-471f-a1b1-449f3c280fee</v>
      </c>
      <c r="B278" s="3" t="str">
        <f>IFERROR(__xludf.DUMMYFUNCTION("""COMPUTED_VALUE"""),"Toulouse")</f>
        <v>Toulouse</v>
      </c>
      <c r="C278" s="4">
        <f>IFERROR(__xludf.DUMMYFUNCTION("""COMPUTED_VALUE"""),45663.0)</f>
        <v>45663</v>
      </c>
      <c r="D278" s="3">
        <f>IFERROR(__xludf.DUMMYFUNCTION("""COMPUTED_VALUE"""),55.0)</f>
        <v>55</v>
      </c>
      <c r="E278" s="3">
        <f>IFERROR(__xludf.DUMMYFUNCTION("""COMPUTED_VALUE"""),42790.0)</f>
        <v>42790</v>
      </c>
      <c r="F278" s="3" t="str">
        <f>IFERROR(__xludf.DUMMYFUNCTION("""COMPUTED_VALUE"""),"EUR")</f>
        <v>EUR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 t="str">
        <f>IFERROR(__xludf.DUMMYFUNCTION("""COMPUTED_VALUE"""),"3533d78c-df19-496a-bfcc-75a523b0ce3e")</f>
        <v>3533d78c-df19-496a-bfcc-75a523b0ce3e</v>
      </c>
      <c r="B279" s="3" t="str">
        <f>IFERROR(__xludf.DUMMYFUNCTION("""COMPUTED_VALUE"""),"Toulouse")</f>
        <v>Toulouse</v>
      </c>
      <c r="C279" s="4">
        <f>IFERROR(__xludf.DUMMYFUNCTION("""COMPUTED_VALUE"""),45663.0)</f>
        <v>45663</v>
      </c>
      <c r="D279" s="3">
        <f>IFERROR(__xludf.DUMMYFUNCTION("""COMPUTED_VALUE"""),68.0)</f>
        <v>68</v>
      </c>
      <c r="E279" s="3">
        <f>IFERROR(__xludf.DUMMYFUNCTION("""COMPUTED_VALUE"""),66300.0)</f>
        <v>66300</v>
      </c>
      <c r="F279" s="3" t="str">
        <f>IFERROR(__xludf.DUMMYFUNCTION("""COMPUTED_VALUE"""),"EUR")</f>
        <v>EUR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 t="str">
        <f>IFERROR(__xludf.DUMMYFUNCTION("""COMPUTED_VALUE"""),"4a9fea40-de3b-41b4-b1e9-6ad5bc792c4f")</f>
        <v>4a9fea40-de3b-41b4-b1e9-6ad5bc792c4f</v>
      </c>
      <c r="B280" s="3" t="str">
        <f>IFERROR(__xludf.DUMMYFUNCTION("""COMPUTED_VALUE"""),"Bordeaux")</f>
        <v>Bordeaux</v>
      </c>
      <c r="C280" s="4">
        <f>IFERROR(__xludf.DUMMYFUNCTION("""COMPUTED_VALUE"""),45663.0)</f>
        <v>45663</v>
      </c>
      <c r="D280" s="3">
        <f>IFERROR(__xludf.DUMMYFUNCTION("""COMPUTED_VALUE"""),65.0)</f>
        <v>65</v>
      </c>
      <c r="E280" s="3">
        <f>IFERROR(__xludf.DUMMYFUNCTION("""COMPUTED_VALUE"""),58760.0)</f>
        <v>58760</v>
      </c>
      <c r="F280" s="3" t="str">
        <f>IFERROR(__xludf.DUMMYFUNCTION("""COMPUTED_VALUE"""),"EUR")</f>
        <v>EUR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 t="str">
        <f>IFERROR(__xludf.DUMMYFUNCTION("""COMPUTED_VALUE"""),"35eae0d3-ff3e-452b-9664-68e907d4e707")</f>
        <v>35eae0d3-ff3e-452b-9664-68e907d4e707</v>
      </c>
      <c r="B281" s="3" t="str">
        <f>IFERROR(__xludf.DUMMYFUNCTION("""COMPUTED_VALUE"""),"Bordeaux")</f>
        <v>Bordeaux</v>
      </c>
      <c r="C281" s="4">
        <f>IFERROR(__xludf.DUMMYFUNCTION("""COMPUTED_VALUE"""),45663.0)</f>
        <v>45663</v>
      </c>
      <c r="D281" s="3">
        <f>IFERROR(__xludf.DUMMYFUNCTION("""COMPUTED_VALUE"""),67.0)</f>
        <v>67</v>
      </c>
      <c r="E281" s="3">
        <f>IFERROR(__xludf.DUMMYFUNCTION("""COMPUTED_VALUE"""),66933.0)</f>
        <v>66933</v>
      </c>
      <c r="F281" s="3" t="str">
        <f>IFERROR(__xludf.DUMMYFUNCTION("""COMPUTED_VALUE"""),"EUR")</f>
        <v>EUR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 t="str">
        <f>IFERROR(__xludf.DUMMYFUNCTION("""COMPUTED_VALUE"""),"f82160bd-df11-464c-80f2-5926b2c72bcd")</f>
        <v>f82160bd-df11-464c-80f2-5926b2c72bcd</v>
      </c>
      <c r="B282" s="3" t="str">
        <f>IFERROR(__xludf.DUMMYFUNCTION("""COMPUTED_VALUE"""),"Bordeaux")</f>
        <v>Bordeaux</v>
      </c>
      <c r="C282" s="4">
        <f>IFERROR(__xludf.DUMMYFUNCTION("""COMPUTED_VALUE"""),45663.0)</f>
        <v>45663</v>
      </c>
      <c r="D282" s="3">
        <f>IFERROR(__xludf.DUMMYFUNCTION("""COMPUTED_VALUE"""),68.0)</f>
        <v>68</v>
      </c>
      <c r="E282" s="3">
        <f>IFERROR(__xludf.DUMMYFUNCTION("""COMPUTED_VALUE"""),64804.0)</f>
        <v>64804</v>
      </c>
      <c r="F282" s="3" t="str">
        <f>IFERROR(__xludf.DUMMYFUNCTION("""COMPUTED_VALUE"""),"EUR")</f>
        <v>EUR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 t="str">
        <f>IFERROR(__xludf.DUMMYFUNCTION("""COMPUTED_VALUE"""),"835bc704-0e2b-4cde-8574-721b40442b4a")</f>
        <v>835bc704-0e2b-4cde-8574-721b40442b4a</v>
      </c>
      <c r="B283" s="3" t="str">
        <f>IFERROR(__xludf.DUMMYFUNCTION("""COMPUTED_VALUE"""),"Paris")</f>
        <v>Paris</v>
      </c>
      <c r="C283" s="4">
        <f>IFERROR(__xludf.DUMMYFUNCTION("""COMPUTED_VALUE"""),45663.0)</f>
        <v>45663</v>
      </c>
      <c r="D283" s="3">
        <f>IFERROR(__xludf.DUMMYFUNCTION("""COMPUTED_VALUE"""),69.0)</f>
        <v>69</v>
      </c>
      <c r="E283" s="3">
        <f>IFERROR(__xludf.DUMMYFUNCTION("""COMPUTED_VALUE"""),69414.0)</f>
        <v>69414</v>
      </c>
      <c r="F283" s="3" t="str">
        <f>IFERROR(__xludf.DUMMYFUNCTION("""COMPUTED_VALUE"""),"EUR")</f>
        <v>EUR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 t="str">
        <f>IFERROR(__xludf.DUMMYFUNCTION("""COMPUTED_VALUE"""),"92656823-acf1-48a0-b9da-7d7ea8797a82")</f>
        <v>92656823-acf1-48a0-b9da-7d7ea8797a82</v>
      </c>
      <c r="B284" s="3" t="str">
        <f>IFERROR(__xludf.DUMMYFUNCTION("""COMPUTED_VALUE"""),"Lille")</f>
        <v>Lille</v>
      </c>
      <c r="C284" s="4">
        <f>IFERROR(__xludf.DUMMYFUNCTION("""COMPUTED_VALUE"""),45663.0)</f>
        <v>45663</v>
      </c>
      <c r="D284" s="3">
        <f>IFERROR(__xludf.DUMMYFUNCTION("""COMPUTED_VALUE"""),60.0)</f>
        <v>60</v>
      </c>
      <c r="E284" s="3">
        <f>IFERROR(__xludf.DUMMYFUNCTION("""COMPUTED_VALUE"""),42720.0)</f>
        <v>42720</v>
      </c>
      <c r="F284" s="3" t="str">
        <f>IFERROR(__xludf.DUMMYFUNCTION("""COMPUTED_VALUE"""),"EUR")</f>
        <v>EUR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 t="str">
        <f>IFERROR(__xludf.DUMMYFUNCTION("""COMPUTED_VALUE"""),"9d609b5f-1570-4200-98e1-0e70f5b81248")</f>
        <v>9d609b5f-1570-4200-98e1-0e70f5b81248</v>
      </c>
      <c r="B285" s="3" t="str">
        <f>IFERROR(__xludf.DUMMYFUNCTION("""COMPUTED_VALUE"""),"Bordeaux")</f>
        <v>Bordeaux</v>
      </c>
      <c r="C285" s="4">
        <f>IFERROR(__xludf.DUMMYFUNCTION("""COMPUTED_VALUE"""),45663.0)</f>
        <v>45663</v>
      </c>
      <c r="D285" s="3">
        <f>IFERROR(__xludf.DUMMYFUNCTION("""COMPUTED_VALUE"""),55.0)</f>
        <v>55</v>
      </c>
      <c r="E285" s="3">
        <f>IFERROR(__xludf.DUMMYFUNCTION("""COMPUTED_VALUE"""),39105.0)</f>
        <v>39105</v>
      </c>
      <c r="F285" s="3" t="str">
        <f>IFERROR(__xludf.DUMMYFUNCTION("""COMPUTED_VALUE"""),"EUR")</f>
        <v>EUR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 t="str">
        <f>IFERROR(__xludf.DUMMYFUNCTION("""COMPUTED_VALUE"""),"1e0dc9ba-a52d-42d7-b023-3b72150fadf0")</f>
        <v>1e0dc9ba-a52d-42d7-b023-3b72150fadf0</v>
      </c>
      <c r="B286" s="3" t="str">
        <f>IFERROR(__xludf.DUMMYFUNCTION("""COMPUTED_VALUE"""),"Toulouse")</f>
        <v>Toulouse</v>
      </c>
      <c r="C286" s="4">
        <f>IFERROR(__xludf.DUMMYFUNCTION("""COMPUTED_VALUE"""),45663.0)</f>
        <v>45663</v>
      </c>
      <c r="D286" s="3">
        <f>IFERROR(__xludf.DUMMYFUNCTION("""COMPUTED_VALUE"""),60.0)</f>
        <v>60</v>
      </c>
      <c r="E286" s="3">
        <f>IFERROR(__xludf.DUMMYFUNCTION("""COMPUTED_VALUE"""),46320.0)</f>
        <v>46320</v>
      </c>
      <c r="F286" s="3" t="str">
        <f>IFERROR(__xludf.DUMMYFUNCTION("""COMPUTED_VALUE"""),"EUR")</f>
        <v>EUR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 t="str">
        <f>IFERROR(__xludf.DUMMYFUNCTION("""COMPUTED_VALUE"""),"f86b7e5c-a327-48c2-aa80-c994d14d6e93")</f>
        <v>f86b7e5c-a327-48c2-aa80-c994d14d6e93</v>
      </c>
      <c r="B287" s="3" t="str">
        <f>IFERROR(__xludf.DUMMYFUNCTION("""COMPUTED_VALUE"""),"Bordeaux")</f>
        <v>Bordeaux</v>
      </c>
      <c r="C287" s="4">
        <f>IFERROR(__xludf.DUMMYFUNCTION("""COMPUTED_VALUE"""),45663.0)</f>
        <v>45663</v>
      </c>
      <c r="D287" s="3">
        <f>IFERROR(__xludf.DUMMYFUNCTION("""COMPUTED_VALUE"""),51.0)</f>
        <v>51</v>
      </c>
      <c r="E287" s="3">
        <f>IFERROR(__xludf.DUMMYFUNCTION("""COMPUTED_VALUE"""),44217.0)</f>
        <v>44217</v>
      </c>
      <c r="F287" s="3" t="str">
        <f>IFERROR(__xludf.DUMMYFUNCTION("""COMPUTED_VALUE"""),"EUR")</f>
        <v>EUR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 t="str">
        <f>IFERROR(__xludf.DUMMYFUNCTION("""COMPUTED_VALUE"""),"1b99af62-89f4-46a5-9d9d-cc01aea55819")</f>
        <v>1b99af62-89f4-46a5-9d9d-cc01aea55819</v>
      </c>
      <c r="B288" s="3" t="str">
        <f>IFERROR(__xludf.DUMMYFUNCTION("""COMPUTED_VALUE"""),"Bordeaux")</f>
        <v>Bordeaux</v>
      </c>
      <c r="C288" s="4">
        <f>IFERROR(__xludf.DUMMYFUNCTION("""COMPUTED_VALUE"""),45663.0)</f>
        <v>45663</v>
      </c>
      <c r="D288" s="3">
        <f>IFERROR(__xludf.DUMMYFUNCTION("""COMPUTED_VALUE"""),65.0)</f>
        <v>65</v>
      </c>
      <c r="E288" s="3">
        <f>IFERROR(__xludf.DUMMYFUNCTION("""COMPUTED_VALUE"""),59865.0)</f>
        <v>59865</v>
      </c>
      <c r="F288" s="3" t="str">
        <f>IFERROR(__xludf.DUMMYFUNCTION("""COMPUTED_VALUE"""),"EUR")</f>
        <v>EUR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 t="str">
        <f>IFERROR(__xludf.DUMMYFUNCTION("""COMPUTED_VALUE"""),"08ec59cc-81bd-4ef4-8a12-9f2408ed882f")</f>
        <v>08ec59cc-81bd-4ef4-8a12-9f2408ed882f</v>
      </c>
      <c r="B289" s="3" t="str">
        <f>IFERROR(__xludf.DUMMYFUNCTION("""COMPUTED_VALUE"""),"Nantes")</f>
        <v>Nantes</v>
      </c>
      <c r="C289" s="4">
        <f>IFERROR(__xludf.DUMMYFUNCTION("""COMPUTED_VALUE"""),45663.0)</f>
        <v>45663</v>
      </c>
      <c r="D289" s="3">
        <f>IFERROR(__xludf.DUMMYFUNCTION("""COMPUTED_VALUE"""),66.0)</f>
        <v>66</v>
      </c>
      <c r="E289" s="3">
        <f>IFERROR(__xludf.DUMMYFUNCTION("""COMPUTED_VALUE"""),61842.0)</f>
        <v>61842</v>
      </c>
      <c r="F289" s="3" t="str">
        <f>IFERROR(__xludf.DUMMYFUNCTION("""COMPUTED_VALUE"""),"EUR")</f>
        <v>EUR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 t="str">
        <f>IFERROR(__xludf.DUMMYFUNCTION("""COMPUTED_VALUE"""),"46ae29a2-b974-4bcb-8d78-36515dc02fd2")</f>
        <v>46ae29a2-b974-4bcb-8d78-36515dc02fd2</v>
      </c>
      <c r="B290" s="3" t="str">
        <f>IFERROR(__xludf.DUMMYFUNCTION("""COMPUTED_VALUE"""),"Toulouse")</f>
        <v>Toulouse</v>
      </c>
      <c r="C290" s="4">
        <f>IFERROR(__xludf.DUMMYFUNCTION("""COMPUTED_VALUE"""),45670.0)</f>
        <v>45670</v>
      </c>
      <c r="D290" s="3">
        <f>IFERROR(__xludf.DUMMYFUNCTION("""COMPUTED_VALUE"""),64.0)</f>
        <v>64</v>
      </c>
      <c r="E290" s="3">
        <f>IFERROR(__xludf.DUMMYFUNCTION("""COMPUTED_VALUE"""),58304.0)</f>
        <v>58304</v>
      </c>
      <c r="F290" s="3" t="str">
        <f>IFERROR(__xludf.DUMMYFUNCTION("""COMPUTED_VALUE"""),"EUR")</f>
        <v>EUR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 t="str">
        <f>IFERROR(__xludf.DUMMYFUNCTION("""COMPUTED_VALUE"""),"b6fb1384-4414-4bf9-9c28-af52538d5042")</f>
        <v>b6fb1384-4414-4bf9-9c28-af52538d5042</v>
      </c>
      <c r="B291" s="3" t="str">
        <f>IFERROR(__xludf.DUMMYFUNCTION("""COMPUTED_VALUE"""),"Bordeaux")</f>
        <v>Bordeaux</v>
      </c>
      <c r="C291" s="4">
        <f>IFERROR(__xludf.DUMMYFUNCTION("""COMPUTED_VALUE"""),45670.0)</f>
        <v>45670</v>
      </c>
      <c r="D291" s="3">
        <f>IFERROR(__xludf.DUMMYFUNCTION("""COMPUTED_VALUE"""),59.0)</f>
        <v>59</v>
      </c>
      <c r="E291" s="3">
        <f>IFERROR(__xludf.DUMMYFUNCTION("""COMPUTED_VALUE"""),50209.0)</f>
        <v>50209</v>
      </c>
      <c r="F291" s="3" t="str">
        <f>IFERROR(__xludf.DUMMYFUNCTION("""COMPUTED_VALUE"""),"EUR")</f>
        <v>EUR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 t="str">
        <f>IFERROR(__xludf.DUMMYFUNCTION("""COMPUTED_VALUE"""),"3c2fd31a-f104-402e-ad65-b6d613bb072a")</f>
        <v>3c2fd31a-f104-402e-ad65-b6d613bb072a</v>
      </c>
      <c r="B292" s="3" t="str">
        <f>IFERROR(__xludf.DUMMYFUNCTION("""COMPUTED_VALUE"""),"Bordeaux")</f>
        <v>Bordeaux</v>
      </c>
      <c r="C292" s="4">
        <f>IFERROR(__xludf.DUMMYFUNCTION("""COMPUTED_VALUE"""),45670.0)</f>
        <v>45670</v>
      </c>
      <c r="D292" s="3">
        <f>IFERROR(__xludf.DUMMYFUNCTION("""COMPUTED_VALUE"""),52.0)</f>
        <v>52</v>
      </c>
      <c r="E292" s="3">
        <f>IFERROR(__xludf.DUMMYFUNCTION("""COMPUTED_VALUE"""),39572.0)</f>
        <v>39572</v>
      </c>
      <c r="F292" s="3" t="str">
        <f>IFERROR(__xludf.DUMMYFUNCTION("""COMPUTED_VALUE"""),"EUR")</f>
        <v>EUR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 t="str">
        <f>IFERROR(__xludf.DUMMYFUNCTION("""COMPUTED_VALUE"""),"165d97f1-2255-462f-9b3b-ef1bdcff2cb8")</f>
        <v>165d97f1-2255-462f-9b3b-ef1bdcff2cb8</v>
      </c>
      <c r="B293" s="3" t="str">
        <f>IFERROR(__xludf.DUMMYFUNCTION("""COMPUTED_VALUE"""),"Toulouse")</f>
        <v>Toulouse</v>
      </c>
      <c r="C293" s="4">
        <f>IFERROR(__xludf.DUMMYFUNCTION("""COMPUTED_VALUE"""),45670.0)</f>
        <v>45670</v>
      </c>
      <c r="D293" s="3">
        <f>IFERROR(__xludf.DUMMYFUNCTION("""COMPUTED_VALUE"""),55.0)</f>
        <v>55</v>
      </c>
      <c r="E293" s="3">
        <f>IFERROR(__xludf.DUMMYFUNCTION("""COMPUTED_VALUE"""),45375.0)</f>
        <v>45375</v>
      </c>
      <c r="F293" s="3" t="str">
        <f>IFERROR(__xludf.DUMMYFUNCTION("""COMPUTED_VALUE"""),"EUR")</f>
        <v>EUR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 t="str">
        <f>IFERROR(__xludf.DUMMYFUNCTION("""COMPUTED_VALUE"""),"2079f9db-0707-4c61-b9b4-03e904a904f3")</f>
        <v>2079f9db-0707-4c61-b9b4-03e904a904f3</v>
      </c>
      <c r="B294" s="3" t="str">
        <f>IFERROR(__xludf.DUMMYFUNCTION("""COMPUTED_VALUE"""),"Nantes")</f>
        <v>Nantes</v>
      </c>
      <c r="C294" s="4">
        <f>IFERROR(__xludf.DUMMYFUNCTION("""COMPUTED_VALUE"""),45670.0)</f>
        <v>45670</v>
      </c>
      <c r="D294" s="3">
        <f>IFERROR(__xludf.DUMMYFUNCTION("""COMPUTED_VALUE"""),66.0)</f>
        <v>66</v>
      </c>
      <c r="E294" s="3">
        <f>IFERROR(__xludf.DUMMYFUNCTION("""COMPUTED_VALUE"""),67056.0)</f>
        <v>67056</v>
      </c>
      <c r="F294" s="3" t="str">
        <f>IFERROR(__xludf.DUMMYFUNCTION("""COMPUTED_VALUE"""),"EUR")</f>
        <v>EUR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 t="str">
        <f>IFERROR(__xludf.DUMMYFUNCTION("""COMPUTED_VALUE"""),"73510660-f025-4d95-b971-f1a831b727b6")</f>
        <v>73510660-f025-4d95-b971-f1a831b727b6</v>
      </c>
      <c r="B295" s="3" t="str">
        <f>IFERROR(__xludf.DUMMYFUNCTION("""COMPUTED_VALUE"""),"Paris")</f>
        <v>Paris</v>
      </c>
      <c r="C295" s="4">
        <f>IFERROR(__xludf.DUMMYFUNCTION("""COMPUTED_VALUE"""),45670.0)</f>
        <v>45670</v>
      </c>
      <c r="D295" s="3">
        <f>IFERROR(__xludf.DUMMYFUNCTION("""COMPUTED_VALUE"""),69.0)</f>
        <v>69</v>
      </c>
      <c r="E295" s="3">
        <f>IFERROR(__xludf.DUMMYFUNCTION("""COMPUTED_VALUE"""),71415.0)</f>
        <v>71415</v>
      </c>
      <c r="F295" s="3" t="str">
        <f>IFERROR(__xludf.DUMMYFUNCTION("""COMPUTED_VALUE"""),"EUR")</f>
        <v>EUR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 t="str">
        <f>IFERROR(__xludf.DUMMYFUNCTION("""COMPUTED_VALUE"""),"f500a8e5-79c6-4792-9d4c-66616d1c5503")</f>
        <v>f500a8e5-79c6-4792-9d4c-66616d1c5503</v>
      </c>
      <c r="B296" s="3" t="str">
        <f>IFERROR(__xludf.DUMMYFUNCTION("""COMPUTED_VALUE"""),"Toulouse")</f>
        <v>Toulouse</v>
      </c>
      <c r="C296" s="4">
        <f>IFERROR(__xludf.DUMMYFUNCTION("""COMPUTED_VALUE"""),45670.0)</f>
        <v>45670</v>
      </c>
      <c r="D296" s="3">
        <f>IFERROR(__xludf.DUMMYFUNCTION("""COMPUTED_VALUE"""),52.0)</f>
        <v>52</v>
      </c>
      <c r="E296" s="3">
        <f>IFERROR(__xludf.DUMMYFUNCTION("""COMPUTED_VALUE"""),39156.0)</f>
        <v>39156</v>
      </c>
      <c r="F296" s="3" t="str">
        <f>IFERROR(__xludf.DUMMYFUNCTION("""COMPUTED_VALUE"""),"EUR")</f>
        <v>EUR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 t="str">
        <f>IFERROR(__xludf.DUMMYFUNCTION("""COMPUTED_VALUE"""),"c1dcd5c1-7dc0-4c3d-89f3-110318f0c8f0")</f>
        <v>c1dcd5c1-7dc0-4c3d-89f3-110318f0c8f0</v>
      </c>
      <c r="B297" s="3" t="str">
        <f>IFERROR(__xludf.DUMMYFUNCTION("""COMPUTED_VALUE"""),"Toulouse")</f>
        <v>Toulouse</v>
      </c>
      <c r="C297" s="4">
        <f>IFERROR(__xludf.DUMMYFUNCTION("""COMPUTED_VALUE"""),45670.0)</f>
        <v>45670</v>
      </c>
      <c r="D297" s="3">
        <f>IFERROR(__xludf.DUMMYFUNCTION("""COMPUTED_VALUE"""),56.0)</f>
        <v>56</v>
      </c>
      <c r="E297" s="3">
        <f>IFERROR(__xludf.DUMMYFUNCTION("""COMPUTED_VALUE"""),40936.0)</f>
        <v>40936</v>
      </c>
      <c r="F297" s="3" t="str">
        <f>IFERROR(__xludf.DUMMYFUNCTION("""COMPUTED_VALUE"""),"EUR")</f>
        <v>EUR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 t="str">
        <f>IFERROR(__xludf.DUMMYFUNCTION("""COMPUTED_VALUE"""),"2db77bc5-f3a4-499c-99fb-e01e62b3b40a")</f>
        <v>2db77bc5-f3a4-499c-99fb-e01e62b3b40a</v>
      </c>
      <c r="B298" s="3" t="str">
        <f>IFERROR(__xludf.DUMMYFUNCTION("""COMPUTED_VALUE"""),"Lille")</f>
        <v>Lille</v>
      </c>
      <c r="C298" s="4">
        <f>IFERROR(__xludf.DUMMYFUNCTION("""COMPUTED_VALUE"""),45670.0)</f>
        <v>45670</v>
      </c>
      <c r="D298" s="3">
        <f>IFERROR(__xludf.DUMMYFUNCTION("""COMPUTED_VALUE"""),58.0)</f>
        <v>58</v>
      </c>
      <c r="E298" s="3">
        <f>IFERROR(__xludf.DUMMYFUNCTION("""COMPUTED_VALUE"""),41470.0)</f>
        <v>41470</v>
      </c>
      <c r="F298" s="3" t="str">
        <f>IFERROR(__xludf.DUMMYFUNCTION("""COMPUTED_VALUE"""),"EUR")</f>
        <v>EUR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 t="str">
        <f>IFERROR(__xludf.DUMMYFUNCTION("""COMPUTED_VALUE"""),"22c62867-249a-4f5f-b2a5-1bb97765c3b7")</f>
        <v>22c62867-249a-4f5f-b2a5-1bb97765c3b7</v>
      </c>
      <c r="B299" s="3" t="str">
        <f>IFERROR(__xludf.DUMMYFUNCTION("""COMPUTED_VALUE"""),"Bordeaux")</f>
        <v>Bordeaux</v>
      </c>
      <c r="C299" s="4">
        <f>IFERROR(__xludf.DUMMYFUNCTION("""COMPUTED_VALUE"""),45670.0)</f>
        <v>45670</v>
      </c>
      <c r="D299" s="3">
        <f>IFERROR(__xludf.DUMMYFUNCTION("""COMPUTED_VALUE"""),69.0)</f>
        <v>69</v>
      </c>
      <c r="E299" s="3">
        <f>IFERROR(__xludf.DUMMYFUNCTION("""COMPUTED_VALUE"""),69966.0)</f>
        <v>69966</v>
      </c>
      <c r="F299" s="3" t="str">
        <f>IFERROR(__xludf.DUMMYFUNCTION("""COMPUTED_VALUE"""),"EUR")</f>
        <v>EUR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 t="str">
        <f>IFERROR(__xludf.DUMMYFUNCTION("""COMPUTED_VALUE"""),"927cbe9e-6c48-4274-8375-1f10c0cb7adc")</f>
        <v>927cbe9e-6c48-4274-8375-1f10c0cb7adc</v>
      </c>
      <c r="B300" s="3" t="str">
        <f>IFERROR(__xludf.DUMMYFUNCTION("""COMPUTED_VALUE"""),"Lille")</f>
        <v>Lille</v>
      </c>
      <c r="C300" s="4">
        <f>IFERROR(__xludf.DUMMYFUNCTION("""COMPUTED_VALUE"""),45670.0)</f>
        <v>45670</v>
      </c>
      <c r="D300" s="3">
        <f>IFERROR(__xludf.DUMMYFUNCTION("""COMPUTED_VALUE"""),69.0)</f>
        <v>69</v>
      </c>
      <c r="E300" s="3">
        <f>IFERROR(__xludf.DUMMYFUNCTION("""COMPUTED_VALUE"""),69483.0)</f>
        <v>69483</v>
      </c>
      <c r="F300" s="3" t="str">
        <f>IFERROR(__xludf.DUMMYFUNCTION("""COMPUTED_VALUE"""),"EUR")</f>
        <v>EUR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 t="str">
        <f>IFERROR(__xludf.DUMMYFUNCTION("""COMPUTED_VALUE"""),"56779c78-fd2e-4c36-8af6-a394b4c08f91")</f>
        <v>56779c78-fd2e-4c36-8af6-a394b4c08f91</v>
      </c>
      <c r="B301" s="3" t="str">
        <f>IFERROR(__xludf.DUMMYFUNCTION("""COMPUTED_VALUE"""),"Lille")</f>
        <v>Lille</v>
      </c>
      <c r="C301" s="4">
        <f>IFERROR(__xludf.DUMMYFUNCTION("""COMPUTED_VALUE"""),45670.0)</f>
        <v>45670</v>
      </c>
      <c r="D301" s="3">
        <f>IFERROR(__xludf.DUMMYFUNCTION("""COMPUTED_VALUE"""),58.0)</f>
        <v>58</v>
      </c>
      <c r="E301" s="3">
        <f>IFERROR(__xludf.DUMMYFUNCTION("""COMPUTED_VALUE"""),43616.0)</f>
        <v>43616</v>
      </c>
      <c r="F301" s="3" t="str">
        <f>IFERROR(__xludf.DUMMYFUNCTION("""COMPUTED_VALUE"""),"EUR")</f>
        <v>EUR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 t="str">
        <f>IFERROR(__xludf.DUMMYFUNCTION("""COMPUTED_VALUE"""),"72c6cab0-6331-4be2-b221-d958049c0bc8")</f>
        <v>72c6cab0-6331-4be2-b221-d958049c0bc8</v>
      </c>
      <c r="B302" s="3" t="str">
        <f>IFERROR(__xludf.DUMMYFUNCTION("""COMPUTED_VALUE"""),"Lille")</f>
        <v>Lille</v>
      </c>
      <c r="C302" s="4">
        <f>IFERROR(__xludf.DUMMYFUNCTION("""COMPUTED_VALUE"""),45670.0)</f>
        <v>45670</v>
      </c>
      <c r="D302" s="3">
        <f>IFERROR(__xludf.DUMMYFUNCTION("""COMPUTED_VALUE"""),52.0)</f>
        <v>52</v>
      </c>
      <c r="E302" s="3">
        <f>IFERROR(__xludf.DUMMYFUNCTION("""COMPUTED_VALUE"""),43212.0)</f>
        <v>43212</v>
      </c>
      <c r="F302" s="3" t="str">
        <f>IFERROR(__xludf.DUMMYFUNCTION("""COMPUTED_VALUE"""),"EUR")</f>
        <v>EUR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 t="str">
        <f>IFERROR(__xludf.DUMMYFUNCTION("""COMPUTED_VALUE"""),"dee6e575-7ce1-464f-9ac0-7f7487b241e4")</f>
        <v>dee6e575-7ce1-464f-9ac0-7f7487b241e4</v>
      </c>
      <c r="B303" s="3" t="str">
        <f>IFERROR(__xludf.DUMMYFUNCTION("""COMPUTED_VALUE"""),"Nantes")</f>
        <v>Nantes</v>
      </c>
      <c r="C303" s="4">
        <f>IFERROR(__xludf.DUMMYFUNCTION("""COMPUTED_VALUE"""),45670.0)</f>
        <v>45670</v>
      </c>
      <c r="D303" s="3">
        <f>IFERROR(__xludf.DUMMYFUNCTION("""COMPUTED_VALUE"""),68.0)</f>
        <v>68</v>
      </c>
      <c r="E303" s="3">
        <f>IFERROR(__xludf.DUMMYFUNCTION("""COMPUTED_VALUE"""),67524.0)</f>
        <v>67524</v>
      </c>
      <c r="F303" s="3" t="str">
        <f>IFERROR(__xludf.DUMMYFUNCTION("""COMPUTED_VALUE"""),"EUR")</f>
        <v>EUR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 t="str">
        <f>IFERROR(__xludf.DUMMYFUNCTION("""COMPUTED_VALUE"""),"c4c3e6c0-e880-4432-a618-444c9a453520")</f>
        <v>c4c3e6c0-e880-4432-a618-444c9a453520</v>
      </c>
      <c r="B304" s="3" t="str">
        <f>IFERROR(__xludf.DUMMYFUNCTION("""COMPUTED_VALUE"""),"Nantes")</f>
        <v>Nantes</v>
      </c>
      <c r="C304" s="4">
        <f>IFERROR(__xludf.DUMMYFUNCTION("""COMPUTED_VALUE"""),45670.0)</f>
        <v>45670</v>
      </c>
      <c r="D304" s="3">
        <f>IFERROR(__xludf.DUMMYFUNCTION("""COMPUTED_VALUE"""),51.0)</f>
        <v>51</v>
      </c>
      <c r="E304" s="3">
        <f>IFERROR(__xludf.DUMMYFUNCTION("""COMPUTED_VALUE"""),40392.0)</f>
        <v>40392</v>
      </c>
      <c r="F304" s="3" t="str">
        <f>IFERROR(__xludf.DUMMYFUNCTION("""COMPUTED_VALUE"""),"EUR")</f>
        <v>EUR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 t="str">
        <f>IFERROR(__xludf.DUMMYFUNCTION("""COMPUTED_VALUE"""),"fad769ad-ca83-4ecd-9789-787625b5ad01")</f>
        <v>fad769ad-ca83-4ecd-9789-787625b5ad01</v>
      </c>
      <c r="B305" s="3" t="str">
        <f>IFERROR(__xludf.DUMMYFUNCTION("""COMPUTED_VALUE"""),"Nantes")</f>
        <v>Nantes</v>
      </c>
      <c r="C305" s="4">
        <f>IFERROR(__xludf.DUMMYFUNCTION("""COMPUTED_VALUE"""),45670.0)</f>
        <v>45670</v>
      </c>
      <c r="D305" s="3">
        <f>IFERROR(__xludf.DUMMYFUNCTION("""COMPUTED_VALUE"""),56.0)</f>
        <v>56</v>
      </c>
      <c r="E305" s="3">
        <f>IFERROR(__xludf.DUMMYFUNCTION("""COMPUTED_VALUE"""),40208.0)</f>
        <v>40208</v>
      </c>
      <c r="F305" s="3" t="str">
        <f>IFERROR(__xludf.DUMMYFUNCTION("""COMPUTED_VALUE"""),"EUR")</f>
        <v>EUR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 t="str">
        <f>IFERROR(__xludf.DUMMYFUNCTION("""COMPUTED_VALUE"""),"b2eff025-a03b-462a-bf72-01fb7cc545eb")</f>
        <v>b2eff025-a03b-462a-bf72-01fb7cc545eb</v>
      </c>
      <c r="B306" s="3" t="str">
        <f>IFERROR(__xludf.DUMMYFUNCTION("""COMPUTED_VALUE"""),"Toulouse")</f>
        <v>Toulouse</v>
      </c>
      <c r="C306" s="4">
        <f>IFERROR(__xludf.DUMMYFUNCTION("""COMPUTED_VALUE"""),45670.0)</f>
        <v>45670</v>
      </c>
      <c r="D306" s="3">
        <f>IFERROR(__xludf.DUMMYFUNCTION("""COMPUTED_VALUE"""),63.0)</f>
        <v>63</v>
      </c>
      <c r="E306" s="3">
        <f>IFERROR(__xludf.DUMMYFUNCTION("""COMPUTED_VALUE"""),58401.0)</f>
        <v>58401</v>
      </c>
      <c r="F306" s="3" t="str">
        <f>IFERROR(__xludf.DUMMYFUNCTION("""COMPUTED_VALUE"""),"EUR")</f>
        <v>EUR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 t="str">
        <f>IFERROR(__xludf.DUMMYFUNCTION("""COMPUTED_VALUE"""),"91d19ba3-f6de-486a-8df4-ee613db8a610")</f>
        <v>91d19ba3-f6de-486a-8df4-ee613db8a610</v>
      </c>
      <c r="B307" s="3" t="str">
        <f>IFERROR(__xludf.DUMMYFUNCTION("""COMPUTED_VALUE"""),"Paris")</f>
        <v>Paris</v>
      </c>
      <c r="C307" s="4">
        <f>IFERROR(__xludf.DUMMYFUNCTION("""COMPUTED_VALUE"""),45670.0)</f>
        <v>45670</v>
      </c>
      <c r="D307" s="3">
        <f>IFERROR(__xludf.DUMMYFUNCTION("""COMPUTED_VALUE"""),56.0)</f>
        <v>56</v>
      </c>
      <c r="E307" s="3">
        <f>IFERROR(__xludf.DUMMYFUNCTION("""COMPUTED_VALUE"""),39648.0)</f>
        <v>39648</v>
      </c>
      <c r="F307" s="3" t="str">
        <f>IFERROR(__xludf.DUMMYFUNCTION("""COMPUTED_VALUE"""),"EUR")</f>
        <v>EUR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 t="str">
        <f>IFERROR(__xludf.DUMMYFUNCTION("""COMPUTED_VALUE"""),"206820bd-e993-4d07-895b-2846b19df2f3")</f>
        <v>206820bd-e993-4d07-895b-2846b19df2f3</v>
      </c>
      <c r="B308" s="3" t="str">
        <f>IFERROR(__xludf.DUMMYFUNCTION("""COMPUTED_VALUE"""),"Nantes")</f>
        <v>Nantes</v>
      </c>
      <c r="C308" s="4">
        <f>IFERROR(__xludf.DUMMYFUNCTION("""COMPUTED_VALUE"""),45670.0)</f>
        <v>45670</v>
      </c>
      <c r="D308" s="3">
        <f>IFERROR(__xludf.DUMMYFUNCTION("""COMPUTED_VALUE"""),65.0)</f>
        <v>65</v>
      </c>
      <c r="E308" s="3">
        <f>IFERROR(__xludf.DUMMYFUNCTION("""COMPUTED_VALUE"""),62205.0)</f>
        <v>62205</v>
      </c>
      <c r="F308" s="3" t="str">
        <f>IFERROR(__xludf.DUMMYFUNCTION("""COMPUTED_VALUE"""),"EUR")</f>
        <v>EUR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 t="str">
        <f>IFERROR(__xludf.DUMMYFUNCTION("""COMPUTED_VALUE"""),"3605dd8b-482d-480a-b576-ed7582f467c7")</f>
        <v>3605dd8b-482d-480a-b576-ed7582f467c7</v>
      </c>
      <c r="B309" s="3" t="str">
        <f>IFERROR(__xludf.DUMMYFUNCTION("""COMPUTED_VALUE"""),"Toulouse")</f>
        <v>Toulouse</v>
      </c>
      <c r="C309" s="4">
        <f>IFERROR(__xludf.DUMMYFUNCTION("""COMPUTED_VALUE"""),45670.0)</f>
        <v>45670</v>
      </c>
      <c r="D309" s="3">
        <f>IFERROR(__xludf.DUMMYFUNCTION("""COMPUTED_VALUE"""),66.0)</f>
        <v>66</v>
      </c>
      <c r="E309" s="3">
        <f>IFERROR(__xludf.DUMMYFUNCTION("""COMPUTED_VALUE"""),60258.0)</f>
        <v>60258</v>
      </c>
      <c r="F309" s="3" t="str">
        <f>IFERROR(__xludf.DUMMYFUNCTION("""COMPUTED_VALUE"""),"EUR")</f>
        <v>EUR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 t="str">
        <f>IFERROR(__xludf.DUMMYFUNCTION("""COMPUTED_VALUE"""),"4eb6f8ee-120d-4b4d-b702-67225c493fab")</f>
        <v>4eb6f8ee-120d-4b4d-b702-67225c493fab</v>
      </c>
      <c r="B310" s="3" t="str">
        <f>IFERROR(__xludf.DUMMYFUNCTION("""COMPUTED_VALUE"""),"Lille")</f>
        <v>Lille</v>
      </c>
      <c r="C310" s="4">
        <f>IFERROR(__xludf.DUMMYFUNCTION("""COMPUTED_VALUE"""),45670.0)</f>
        <v>45670</v>
      </c>
      <c r="D310" s="3">
        <f>IFERROR(__xludf.DUMMYFUNCTION("""COMPUTED_VALUE"""),63.0)</f>
        <v>63</v>
      </c>
      <c r="E310" s="3">
        <f>IFERROR(__xludf.DUMMYFUNCTION("""COMPUTED_VALUE"""),58653.0)</f>
        <v>58653</v>
      </c>
      <c r="F310" s="3" t="str">
        <f>IFERROR(__xludf.DUMMYFUNCTION("""COMPUTED_VALUE"""),"EUR")</f>
        <v>EUR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 t="str">
        <f>IFERROR(__xludf.DUMMYFUNCTION("""COMPUTED_VALUE"""),"08ec59cc-81bd-4ef4-8a12-9f2408ed882f")</f>
        <v>08ec59cc-81bd-4ef4-8a12-9f2408ed882f</v>
      </c>
      <c r="B311" s="3" t="str">
        <f>IFERROR(__xludf.DUMMYFUNCTION("""COMPUTED_VALUE"""),"Nantes")</f>
        <v>Nantes</v>
      </c>
      <c r="C311" s="4">
        <f>IFERROR(__xludf.DUMMYFUNCTION("""COMPUTED_VALUE"""),45670.0)</f>
        <v>45670</v>
      </c>
      <c r="D311" s="3">
        <f>IFERROR(__xludf.DUMMYFUNCTION("""COMPUTED_VALUE"""),59.0)</f>
        <v>59</v>
      </c>
      <c r="E311" s="3">
        <f>IFERROR(__xludf.DUMMYFUNCTION("""COMPUTED_VALUE"""),51271.0)</f>
        <v>51271</v>
      </c>
      <c r="F311" s="3" t="str">
        <f>IFERROR(__xludf.DUMMYFUNCTION("""COMPUTED_VALUE"""),"EUR")</f>
        <v>EUR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 t="str">
        <f>IFERROR(__xludf.DUMMYFUNCTION("""COMPUTED_VALUE"""),"1b99af62-89f4-46a5-9d9d-cc01aea55819")</f>
        <v>1b99af62-89f4-46a5-9d9d-cc01aea55819</v>
      </c>
      <c r="B312" s="3" t="str">
        <f>IFERROR(__xludf.DUMMYFUNCTION("""COMPUTED_VALUE"""),"Bordeaux")</f>
        <v>Bordeaux</v>
      </c>
      <c r="C312" s="4">
        <f>IFERROR(__xludf.DUMMYFUNCTION("""COMPUTED_VALUE"""),45670.0)</f>
        <v>45670</v>
      </c>
      <c r="D312" s="3">
        <f>IFERROR(__xludf.DUMMYFUNCTION("""COMPUTED_VALUE"""),55.0)</f>
        <v>55</v>
      </c>
      <c r="E312" s="3">
        <f>IFERROR(__xludf.DUMMYFUNCTION("""COMPUTED_VALUE"""),41305.0)</f>
        <v>41305</v>
      </c>
      <c r="F312" s="3" t="str">
        <f>IFERROR(__xludf.DUMMYFUNCTION("""COMPUTED_VALUE"""),"EUR")</f>
        <v>EUR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 t="str">
        <f>IFERROR(__xludf.DUMMYFUNCTION("""COMPUTED_VALUE"""),"fe832000-15ce-471f-a1b1-449f3c280fee")</f>
        <v>fe832000-15ce-471f-a1b1-449f3c280fee</v>
      </c>
      <c r="B313" s="3" t="str">
        <f>IFERROR(__xludf.DUMMYFUNCTION("""COMPUTED_VALUE"""),"Toulouse")</f>
        <v>Toulouse</v>
      </c>
      <c r="C313" s="4">
        <f>IFERROR(__xludf.DUMMYFUNCTION("""COMPUTED_VALUE"""),45670.0)</f>
        <v>45670</v>
      </c>
      <c r="D313" s="3">
        <f>IFERROR(__xludf.DUMMYFUNCTION("""COMPUTED_VALUE"""),53.0)</f>
        <v>53</v>
      </c>
      <c r="E313" s="3">
        <f>IFERROR(__xludf.DUMMYFUNCTION("""COMPUTED_VALUE"""),42453.0)</f>
        <v>42453</v>
      </c>
      <c r="F313" s="3" t="str">
        <f>IFERROR(__xludf.DUMMYFUNCTION("""COMPUTED_VALUE"""),"EUR")</f>
        <v>EUR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 t="str">
        <f>IFERROR(__xludf.DUMMYFUNCTION("""COMPUTED_VALUE"""),"a043c0b7-294c-4997-b488-520126daac28")</f>
        <v>a043c0b7-294c-4997-b488-520126daac28</v>
      </c>
      <c r="B314" s="3" t="str">
        <f>IFERROR(__xludf.DUMMYFUNCTION("""COMPUTED_VALUE"""),"Toulouse")</f>
        <v>Toulouse</v>
      </c>
      <c r="C314" s="4">
        <f>IFERROR(__xludf.DUMMYFUNCTION("""COMPUTED_VALUE"""),45670.0)</f>
        <v>45670</v>
      </c>
      <c r="D314" s="3">
        <f>IFERROR(__xludf.DUMMYFUNCTION("""COMPUTED_VALUE"""),69.0)</f>
        <v>69</v>
      </c>
      <c r="E314" s="3">
        <f>IFERROR(__xludf.DUMMYFUNCTION("""COMPUTED_VALUE"""),70035.0)</f>
        <v>70035</v>
      </c>
      <c r="F314" s="3" t="str">
        <f>IFERROR(__xludf.DUMMYFUNCTION("""COMPUTED_VALUE"""),"EUR")</f>
        <v>EUR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 t="str">
        <f>IFERROR(__xludf.DUMMYFUNCTION("""COMPUTED_VALUE"""),"65a46f29-8b9a-40a8-87bc-9be04237a0cc")</f>
        <v>65a46f29-8b9a-40a8-87bc-9be04237a0cc</v>
      </c>
      <c r="B315" s="3" t="str">
        <f>IFERROR(__xludf.DUMMYFUNCTION("""COMPUTED_VALUE"""),"Toulouse")</f>
        <v>Toulouse</v>
      </c>
      <c r="C315" s="4">
        <f>IFERROR(__xludf.DUMMYFUNCTION("""COMPUTED_VALUE"""),45670.0)</f>
        <v>45670</v>
      </c>
      <c r="D315" s="3">
        <f>IFERROR(__xludf.DUMMYFUNCTION("""COMPUTED_VALUE"""),69.0)</f>
        <v>69</v>
      </c>
      <c r="E315" s="3">
        <f>IFERROR(__xludf.DUMMYFUNCTION("""COMPUTED_VALUE"""),72036.0)</f>
        <v>72036</v>
      </c>
      <c r="F315" s="3" t="str">
        <f>IFERROR(__xludf.DUMMYFUNCTION("""COMPUTED_VALUE"""),"EUR")</f>
        <v>EUR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 t="str">
        <f>IFERROR(__xludf.DUMMYFUNCTION("""COMPUTED_VALUE"""),"4f352690-d3fe-42a1-941c-538073537ee8")</f>
        <v>4f352690-d3fe-42a1-941c-538073537ee8</v>
      </c>
      <c r="B316" s="3" t="str">
        <f>IFERROR(__xludf.DUMMYFUNCTION("""COMPUTED_VALUE"""),"Toulouse")</f>
        <v>Toulouse</v>
      </c>
      <c r="C316" s="4">
        <f>IFERROR(__xludf.DUMMYFUNCTION("""COMPUTED_VALUE"""),45670.0)</f>
        <v>45670</v>
      </c>
      <c r="D316" s="3">
        <f>IFERROR(__xludf.DUMMYFUNCTION("""COMPUTED_VALUE"""),66.0)</f>
        <v>66</v>
      </c>
      <c r="E316" s="3">
        <f>IFERROR(__xludf.DUMMYFUNCTION("""COMPUTED_VALUE"""),66198.0)</f>
        <v>66198</v>
      </c>
      <c r="F316" s="3" t="str">
        <f>IFERROR(__xludf.DUMMYFUNCTION("""COMPUTED_VALUE"""),"EUR")</f>
        <v>EUR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 t="str">
        <f>IFERROR(__xludf.DUMMYFUNCTION("""COMPUTED_VALUE"""),"fd2a507b-7caa-436c-b4e5-40f463cb4ec3")</f>
        <v>fd2a507b-7caa-436c-b4e5-40f463cb4ec3</v>
      </c>
      <c r="B317" s="3" t="str">
        <f>IFERROR(__xludf.DUMMYFUNCTION("""COMPUTED_VALUE"""),"Bordeaux")</f>
        <v>Bordeaux</v>
      </c>
      <c r="C317" s="4">
        <f>IFERROR(__xludf.DUMMYFUNCTION("""COMPUTED_VALUE"""),45670.0)</f>
        <v>45670</v>
      </c>
      <c r="D317" s="3">
        <f>IFERROR(__xludf.DUMMYFUNCTION("""COMPUTED_VALUE"""),63.0)</f>
        <v>63</v>
      </c>
      <c r="E317" s="3">
        <f>IFERROR(__xludf.DUMMYFUNCTION("""COMPUTED_VALUE"""),58968.0)</f>
        <v>58968</v>
      </c>
      <c r="F317" s="3" t="str">
        <f>IFERROR(__xludf.DUMMYFUNCTION("""COMPUTED_VALUE"""),"EUR")</f>
        <v>EUR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 t="str">
        <f>IFERROR(__xludf.DUMMYFUNCTION("""COMPUTED_VALUE"""),"6d9944c9-8b73-43d2-ac94-c140233634be")</f>
        <v>6d9944c9-8b73-43d2-ac94-c140233634be</v>
      </c>
      <c r="B318" s="3" t="str">
        <f>IFERROR(__xludf.DUMMYFUNCTION("""COMPUTED_VALUE"""),"Nantes")</f>
        <v>Nantes</v>
      </c>
      <c r="C318" s="4">
        <f>IFERROR(__xludf.DUMMYFUNCTION("""COMPUTED_VALUE"""),45677.0)</f>
        <v>45677</v>
      </c>
      <c r="D318" s="3">
        <f>IFERROR(__xludf.DUMMYFUNCTION("""COMPUTED_VALUE"""),70.0)</f>
        <v>70</v>
      </c>
      <c r="E318" s="3">
        <f>IFERROR(__xludf.DUMMYFUNCTION("""COMPUTED_VALUE"""),67760.0)</f>
        <v>67760</v>
      </c>
      <c r="F318" s="3" t="str">
        <f>IFERROR(__xludf.DUMMYFUNCTION("""COMPUTED_VALUE"""),"EUR")</f>
        <v>EUR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 t="str">
        <f>IFERROR(__xludf.DUMMYFUNCTION("""COMPUTED_VALUE"""),"66731b86-79d3-43ff-bb4a-8cab4f55bdb3")</f>
        <v>66731b86-79d3-43ff-bb4a-8cab4f55bdb3</v>
      </c>
      <c r="B319" s="3" t="str">
        <f>IFERROR(__xludf.DUMMYFUNCTION("""COMPUTED_VALUE"""),"Toulouse")</f>
        <v>Toulouse</v>
      </c>
      <c r="C319" s="4">
        <f>IFERROR(__xludf.DUMMYFUNCTION("""COMPUTED_VALUE"""),45677.0)</f>
        <v>45677</v>
      </c>
      <c r="D319" s="3">
        <f>IFERROR(__xludf.DUMMYFUNCTION("""COMPUTED_VALUE"""),53.0)</f>
        <v>53</v>
      </c>
      <c r="E319" s="3">
        <f>IFERROR(__xludf.DUMMYFUNCTION("""COMPUTED_VALUE"""),45845.0)</f>
        <v>45845</v>
      </c>
      <c r="F319" s="3" t="str">
        <f>IFERROR(__xludf.DUMMYFUNCTION("""COMPUTED_VALUE"""),"EUR")</f>
        <v>EUR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 t="str">
        <f>IFERROR(__xludf.DUMMYFUNCTION("""COMPUTED_VALUE"""),"1ae178b9-5a92-4ce6-9cd2-0536ac786ff1")</f>
        <v>1ae178b9-5a92-4ce6-9cd2-0536ac786ff1</v>
      </c>
      <c r="B320" s="3" t="str">
        <f>IFERROR(__xludf.DUMMYFUNCTION("""COMPUTED_VALUE"""),"Nantes")</f>
        <v>Nantes</v>
      </c>
      <c r="C320" s="4">
        <f>IFERROR(__xludf.DUMMYFUNCTION("""COMPUTED_VALUE"""),45677.0)</f>
        <v>45677</v>
      </c>
      <c r="D320" s="3">
        <f>IFERROR(__xludf.DUMMYFUNCTION("""COMPUTED_VALUE"""),66.0)</f>
        <v>66</v>
      </c>
      <c r="E320" s="3">
        <f>IFERROR(__xludf.DUMMYFUNCTION("""COMPUTED_VALUE"""),61116.0)</f>
        <v>61116</v>
      </c>
      <c r="F320" s="3" t="str">
        <f>IFERROR(__xludf.DUMMYFUNCTION("""COMPUTED_VALUE"""),"EUR")</f>
        <v>EUR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 t="str">
        <f>IFERROR(__xludf.DUMMYFUNCTION("""COMPUTED_VALUE"""),"7a43005f-a8ee-4c46-9d56-7543a354be19")</f>
        <v>7a43005f-a8ee-4c46-9d56-7543a354be19</v>
      </c>
      <c r="B321" s="3" t="str">
        <f>IFERROR(__xludf.DUMMYFUNCTION("""COMPUTED_VALUE"""),"Paris")</f>
        <v>Paris</v>
      </c>
      <c r="C321" s="4">
        <f>IFERROR(__xludf.DUMMYFUNCTION("""COMPUTED_VALUE"""),45677.0)</f>
        <v>45677</v>
      </c>
      <c r="D321" s="3">
        <f>IFERROR(__xludf.DUMMYFUNCTION("""COMPUTED_VALUE"""),68.0)</f>
        <v>68</v>
      </c>
      <c r="E321" s="3">
        <f>IFERROR(__xludf.DUMMYFUNCTION("""COMPUTED_VALUE"""),62832.0)</f>
        <v>62832</v>
      </c>
      <c r="F321" s="3" t="str">
        <f>IFERROR(__xludf.DUMMYFUNCTION("""COMPUTED_VALUE"""),"EUR")</f>
        <v>EUR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 t="str">
        <f>IFERROR(__xludf.DUMMYFUNCTION("""COMPUTED_VALUE"""),"cc4f6bd7-537c-4981-9809-459049725c0c")</f>
        <v>cc4f6bd7-537c-4981-9809-459049725c0c</v>
      </c>
      <c r="B322" s="3" t="str">
        <f>IFERROR(__xludf.DUMMYFUNCTION("""COMPUTED_VALUE"""),"Bordeaux")</f>
        <v>Bordeaux</v>
      </c>
      <c r="C322" s="4">
        <f>IFERROR(__xludf.DUMMYFUNCTION("""COMPUTED_VALUE"""),45677.0)</f>
        <v>45677</v>
      </c>
      <c r="D322" s="3">
        <f>IFERROR(__xludf.DUMMYFUNCTION("""COMPUTED_VALUE"""),68.0)</f>
        <v>68</v>
      </c>
      <c r="E322" s="3">
        <f>IFERROR(__xludf.DUMMYFUNCTION("""COMPUTED_VALUE"""),65552.0)</f>
        <v>65552</v>
      </c>
      <c r="F322" s="3" t="str">
        <f>IFERROR(__xludf.DUMMYFUNCTION("""COMPUTED_VALUE"""),"EUR")</f>
        <v>EUR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 t="str">
        <f>IFERROR(__xludf.DUMMYFUNCTION("""COMPUTED_VALUE"""),"13819e8f-dbb4-4298-97c4-83a579556789")</f>
        <v>13819e8f-dbb4-4298-97c4-83a579556789</v>
      </c>
      <c r="B323" s="3" t="str">
        <f>IFERROR(__xludf.DUMMYFUNCTION("""COMPUTED_VALUE"""),"Lille")</f>
        <v>Lille</v>
      </c>
      <c r="C323" s="4">
        <f>IFERROR(__xludf.DUMMYFUNCTION("""COMPUTED_VALUE"""),45677.0)</f>
        <v>45677</v>
      </c>
      <c r="D323" s="3">
        <f>IFERROR(__xludf.DUMMYFUNCTION("""COMPUTED_VALUE"""),59.0)</f>
        <v>59</v>
      </c>
      <c r="E323" s="3">
        <f>IFERROR(__xludf.DUMMYFUNCTION("""COMPUTED_VALUE"""),44663.0)</f>
        <v>44663</v>
      </c>
      <c r="F323" s="3" t="str">
        <f>IFERROR(__xludf.DUMMYFUNCTION("""COMPUTED_VALUE"""),"EUR")</f>
        <v>EUR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 t="str">
        <f>IFERROR(__xludf.DUMMYFUNCTION("""COMPUTED_VALUE"""),"3e5e7448-2215-40db-b103-2ccfcb9f233f")</f>
        <v>3e5e7448-2215-40db-b103-2ccfcb9f233f</v>
      </c>
      <c r="B324" s="3" t="str">
        <f>IFERROR(__xludf.DUMMYFUNCTION("""COMPUTED_VALUE"""),"Paris")</f>
        <v>Paris</v>
      </c>
      <c r="C324" s="4">
        <f>IFERROR(__xludf.DUMMYFUNCTION("""COMPUTED_VALUE"""),45677.0)</f>
        <v>45677</v>
      </c>
      <c r="D324" s="3">
        <f>IFERROR(__xludf.DUMMYFUNCTION("""COMPUTED_VALUE"""),51.0)</f>
        <v>51</v>
      </c>
      <c r="E324" s="3">
        <f>IFERROR(__xludf.DUMMYFUNCTION("""COMPUTED_VALUE"""),43503.0)</f>
        <v>43503</v>
      </c>
      <c r="F324" s="3" t="str">
        <f>IFERROR(__xludf.DUMMYFUNCTION("""COMPUTED_VALUE"""),"EUR")</f>
        <v>EUR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 t="str">
        <f>IFERROR(__xludf.DUMMYFUNCTION("""COMPUTED_VALUE"""),"734cafc0-e649-47f7-ae9b-4cc025061a19")</f>
        <v>734cafc0-e649-47f7-ae9b-4cc025061a19</v>
      </c>
      <c r="B325" s="3" t="str">
        <f>IFERROR(__xludf.DUMMYFUNCTION("""COMPUTED_VALUE"""),"Paris")</f>
        <v>Paris</v>
      </c>
      <c r="C325" s="4">
        <f>IFERROR(__xludf.DUMMYFUNCTION("""COMPUTED_VALUE"""),45677.0)</f>
        <v>45677</v>
      </c>
      <c r="D325" s="3">
        <f>IFERROR(__xludf.DUMMYFUNCTION("""COMPUTED_VALUE"""),61.0)</f>
        <v>61</v>
      </c>
      <c r="E325" s="3">
        <f>IFERROR(__xludf.DUMMYFUNCTION("""COMPUTED_VALUE"""),55083.0)</f>
        <v>55083</v>
      </c>
      <c r="F325" s="3" t="str">
        <f>IFERROR(__xludf.DUMMYFUNCTION("""COMPUTED_VALUE"""),"EUR")</f>
        <v>EUR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 t="str">
        <f>IFERROR(__xludf.DUMMYFUNCTION("""COMPUTED_VALUE"""),"288a151f-5c54-4b43-a969-72705bf13710")</f>
        <v>288a151f-5c54-4b43-a969-72705bf13710</v>
      </c>
      <c r="B326" s="3" t="str">
        <f>IFERROR(__xludf.DUMMYFUNCTION("""COMPUTED_VALUE"""),"Nantes")</f>
        <v>Nantes</v>
      </c>
      <c r="C326" s="4">
        <f>IFERROR(__xludf.DUMMYFUNCTION("""COMPUTED_VALUE"""),45677.0)</f>
        <v>45677</v>
      </c>
      <c r="D326" s="3">
        <f>IFERROR(__xludf.DUMMYFUNCTION("""COMPUTED_VALUE"""),65.0)</f>
        <v>65</v>
      </c>
      <c r="E326" s="3">
        <f>IFERROR(__xludf.DUMMYFUNCTION("""COMPUTED_VALUE"""),65000.0)</f>
        <v>65000</v>
      </c>
      <c r="F326" s="3" t="str">
        <f>IFERROR(__xludf.DUMMYFUNCTION("""COMPUTED_VALUE"""),"EUR")</f>
        <v>EUR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 t="str">
        <f>IFERROR(__xludf.DUMMYFUNCTION("""COMPUTED_VALUE"""),"ae372fb4-0d5b-4afd-bbf9-7a58454d9372")</f>
        <v>ae372fb4-0d5b-4afd-bbf9-7a58454d9372</v>
      </c>
      <c r="B327" s="3" t="str">
        <f>IFERROR(__xludf.DUMMYFUNCTION("""COMPUTED_VALUE"""),"Nantes")</f>
        <v>Nantes</v>
      </c>
      <c r="C327" s="4">
        <f>IFERROR(__xludf.DUMMYFUNCTION("""COMPUTED_VALUE"""),45677.0)</f>
        <v>45677</v>
      </c>
      <c r="D327" s="3">
        <f>IFERROR(__xludf.DUMMYFUNCTION("""COMPUTED_VALUE"""),51.0)</f>
        <v>51</v>
      </c>
      <c r="E327" s="3">
        <f>IFERROR(__xludf.DUMMYFUNCTION("""COMPUTED_VALUE"""),37383.0)</f>
        <v>37383</v>
      </c>
      <c r="F327" s="3" t="str">
        <f>IFERROR(__xludf.DUMMYFUNCTION("""COMPUTED_VALUE"""),"EUR")</f>
        <v>EUR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 t="str">
        <f>IFERROR(__xludf.DUMMYFUNCTION("""COMPUTED_VALUE"""),"73510660-f025-4d95-b971-f1a831b727b6")</f>
        <v>73510660-f025-4d95-b971-f1a831b727b6</v>
      </c>
      <c r="B328" s="3" t="str">
        <f>IFERROR(__xludf.DUMMYFUNCTION("""COMPUTED_VALUE"""),"Paris")</f>
        <v>Paris</v>
      </c>
      <c r="C328" s="4">
        <f>IFERROR(__xludf.DUMMYFUNCTION("""COMPUTED_VALUE"""),45677.0)</f>
        <v>45677</v>
      </c>
      <c r="D328" s="3">
        <f>IFERROR(__xludf.DUMMYFUNCTION("""COMPUTED_VALUE"""),70.0)</f>
        <v>70</v>
      </c>
      <c r="E328" s="3">
        <f>IFERROR(__xludf.DUMMYFUNCTION("""COMPUTED_VALUE"""),69300.0)</f>
        <v>69300</v>
      </c>
      <c r="F328" s="3" t="str">
        <f>IFERROR(__xludf.DUMMYFUNCTION("""COMPUTED_VALUE"""),"EUR")</f>
        <v>EUR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 t="str">
        <f>IFERROR(__xludf.DUMMYFUNCTION("""COMPUTED_VALUE"""),"f500a8e5-79c6-4792-9d4c-66616d1c5503")</f>
        <v>f500a8e5-79c6-4792-9d4c-66616d1c5503</v>
      </c>
      <c r="B329" s="3" t="str">
        <f>IFERROR(__xludf.DUMMYFUNCTION("""COMPUTED_VALUE"""),"Toulouse")</f>
        <v>Toulouse</v>
      </c>
      <c r="C329" s="4">
        <f>IFERROR(__xludf.DUMMYFUNCTION("""COMPUTED_VALUE"""),45677.0)</f>
        <v>45677</v>
      </c>
      <c r="D329" s="3">
        <f>IFERROR(__xludf.DUMMYFUNCTION("""COMPUTED_VALUE"""),52.0)</f>
        <v>52</v>
      </c>
      <c r="E329" s="3">
        <f>IFERROR(__xludf.DUMMYFUNCTION("""COMPUTED_VALUE"""),41860.0)</f>
        <v>41860</v>
      </c>
      <c r="F329" s="3" t="str">
        <f>IFERROR(__xludf.DUMMYFUNCTION("""COMPUTED_VALUE"""),"EUR")</f>
        <v>EUR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 t="str">
        <f>IFERROR(__xludf.DUMMYFUNCTION("""COMPUTED_VALUE"""),"0c541de3-59fb-4358-bed9-323f180800d4")</f>
        <v>0c541de3-59fb-4358-bed9-323f180800d4</v>
      </c>
      <c r="B330" s="3" t="str">
        <f>IFERROR(__xludf.DUMMYFUNCTION("""COMPUTED_VALUE"""),"Lille")</f>
        <v>Lille</v>
      </c>
      <c r="C330" s="4">
        <f>IFERROR(__xludf.DUMMYFUNCTION("""COMPUTED_VALUE"""),45677.0)</f>
        <v>45677</v>
      </c>
      <c r="D330" s="3">
        <f>IFERROR(__xludf.DUMMYFUNCTION("""COMPUTED_VALUE"""),51.0)</f>
        <v>51</v>
      </c>
      <c r="E330" s="3">
        <f>IFERROR(__xludf.DUMMYFUNCTION("""COMPUTED_VALUE"""),40953.0)</f>
        <v>40953</v>
      </c>
      <c r="F330" s="3" t="str">
        <f>IFERROR(__xludf.DUMMYFUNCTION("""COMPUTED_VALUE"""),"EUR")</f>
        <v>EUR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 t="str">
        <f>IFERROR(__xludf.DUMMYFUNCTION("""COMPUTED_VALUE"""),"6498c12c-5d53-4234-a952-d669f5da80c3")</f>
        <v>6498c12c-5d53-4234-a952-d669f5da80c3</v>
      </c>
      <c r="B331" s="3" t="str">
        <f>IFERROR(__xludf.DUMMYFUNCTION("""COMPUTED_VALUE"""),"Paris")</f>
        <v>Paris</v>
      </c>
      <c r="C331" s="4">
        <f>IFERROR(__xludf.DUMMYFUNCTION("""COMPUTED_VALUE"""),45677.0)</f>
        <v>45677</v>
      </c>
      <c r="D331" s="3">
        <f>IFERROR(__xludf.DUMMYFUNCTION("""COMPUTED_VALUE"""),55.0)</f>
        <v>55</v>
      </c>
      <c r="E331" s="3">
        <f>IFERROR(__xludf.DUMMYFUNCTION("""COMPUTED_VALUE"""),44440.0)</f>
        <v>44440</v>
      </c>
      <c r="F331" s="3" t="str">
        <f>IFERROR(__xludf.DUMMYFUNCTION("""COMPUTED_VALUE"""),"EUR")</f>
        <v>EUR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 t="str">
        <f>IFERROR(__xludf.DUMMYFUNCTION("""COMPUTED_VALUE"""),"2ccdcf54-f9cb-4b2f-b5ac-cd3fb956e333")</f>
        <v>2ccdcf54-f9cb-4b2f-b5ac-cd3fb956e333</v>
      </c>
      <c r="B332" s="3" t="str">
        <f>IFERROR(__xludf.DUMMYFUNCTION("""COMPUTED_VALUE"""),"Nantes")</f>
        <v>Nantes</v>
      </c>
      <c r="C332" s="4">
        <f>IFERROR(__xludf.DUMMYFUNCTION("""COMPUTED_VALUE"""),45677.0)</f>
        <v>45677</v>
      </c>
      <c r="D332" s="3">
        <f>IFERROR(__xludf.DUMMYFUNCTION("""COMPUTED_VALUE"""),51.0)</f>
        <v>51</v>
      </c>
      <c r="E332" s="3">
        <f>IFERROR(__xludf.DUMMYFUNCTION("""COMPUTED_VALUE"""),39219.0)</f>
        <v>39219</v>
      </c>
      <c r="F332" s="3" t="str">
        <f>IFERROR(__xludf.DUMMYFUNCTION("""COMPUTED_VALUE"""),"EUR")</f>
        <v>EUR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 t="str">
        <f>IFERROR(__xludf.DUMMYFUNCTION("""COMPUTED_VALUE"""),"167be78d-a59e-40d6-9ae3-0e30c56dcb93")</f>
        <v>167be78d-a59e-40d6-9ae3-0e30c56dcb93</v>
      </c>
      <c r="B333" s="3" t="str">
        <f>IFERROR(__xludf.DUMMYFUNCTION("""COMPUTED_VALUE"""),"Nantes")</f>
        <v>Nantes</v>
      </c>
      <c r="C333" s="4">
        <f>IFERROR(__xludf.DUMMYFUNCTION("""COMPUTED_VALUE"""),45677.0)</f>
        <v>45677</v>
      </c>
      <c r="D333" s="3">
        <f>IFERROR(__xludf.DUMMYFUNCTION("""COMPUTED_VALUE"""),69.0)</f>
        <v>69</v>
      </c>
      <c r="E333" s="3">
        <f>IFERROR(__xludf.DUMMYFUNCTION("""COMPUTED_VALUE"""),70656.0)</f>
        <v>70656</v>
      </c>
      <c r="F333" s="3" t="str">
        <f>IFERROR(__xludf.DUMMYFUNCTION("""COMPUTED_VALUE"""),"EUR")</f>
        <v>EUR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 t="str">
        <f>IFERROR(__xludf.DUMMYFUNCTION("""COMPUTED_VALUE"""),"c4c3e6c0-e880-4432-a618-444c9a453520")</f>
        <v>c4c3e6c0-e880-4432-a618-444c9a453520</v>
      </c>
      <c r="B334" s="3" t="str">
        <f>IFERROR(__xludf.DUMMYFUNCTION("""COMPUTED_VALUE"""),"Nantes")</f>
        <v>Nantes</v>
      </c>
      <c r="C334" s="4">
        <f>IFERROR(__xludf.DUMMYFUNCTION("""COMPUTED_VALUE"""),45677.0)</f>
        <v>45677</v>
      </c>
      <c r="D334" s="3">
        <f>IFERROR(__xludf.DUMMYFUNCTION("""COMPUTED_VALUE"""),66.0)</f>
        <v>66</v>
      </c>
      <c r="E334" s="3">
        <f>IFERROR(__xludf.DUMMYFUNCTION("""COMPUTED_VALUE"""),65472.0)</f>
        <v>65472</v>
      </c>
      <c r="F334" s="3" t="str">
        <f>IFERROR(__xludf.DUMMYFUNCTION("""COMPUTED_VALUE"""),"EUR")</f>
        <v>EUR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 t="str">
        <f>IFERROR(__xludf.DUMMYFUNCTION("""COMPUTED_VALUE"""),"fad769ad-ca83-4ecd-9789-787625b5ad01")</f>
        <v>fad769ad-ca83-4ecd-9789-787625b5ad01</v>
      </c>
      <c r="B335" s="3" t="str">
        <f>IFERROR(__xludf.DUMMYFUNCTION("""COMPUTED_VALUE"""),"Nantes")</f>
        <v>Nantes</v>
      </c>
      <c r="C335" s="4">
        <f>IFERROR(__xludf.DUMMYFUNCTION("""COMPUTED_VALUE"""),45677.0)</f>
        <v>45677</v>
      </c>
      <c r="D335" s="3">
        <f>IFERROR(__xludf.DUMMYFUNCTION("""COMPUTED_VALUE"""),63.0)</f>
        <v>63</v>
      </c>
      <c r="E335" s="3">
        <f>IFERROR(__xludf.DUMMYFUNCTION("""COMPUTED_VALUE"""),66150.0)</f>
        <v>66150</v>
      </c>
      <c r="F335" s="3" t="str">
        <f>IFERROR(__xludf.DUMMYFUNCTION("""COMPUTED_VALUE"""),"EUR")</f>
        <v>EUR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 t="str">
        <f>IFERROR(__xludf.DUMMYFUNCTION("""COMPUTED_VALUE"""),"b6fb1384-4414-4bf9-9c28-af52538d5048")</f>
        <v>b6fb1384-4414-4bf9-9c28-af52538d5048</v>
      </c>
      <c r="B336" s="3" t="str">
        <f>IFERROR(__xludf.DUMMYFUNCTION("""COMPUTED_VALUE"""),"Bordeaux")</f>
        <v>Bordeaux</v>
      </c>
      <c r="C336" s="4">
        <f>IFERROR(__xludf.DUMMYFUNCTION("""COMPUTED_VALUE"""),45677.0)</f>
        <v>45677</v>
      </c>
      <c r="D336" s="3">
        <f>IFERROR(__xludf.DUMMYFUNCTION("""COMPUTED_VALUE"""),63.0)</f>
        <v>63</v>
      </c>
      <c r="E336" s="3">
        <f>IFERROR(__xludf.DUMMYFUNCTION("""COMPUTED_VALUE"""),57708.0)</f>
        <v>57708</v>
      </c>
      <c r="F336" s="3" t="str">
        <f>IFERROR(__xludf.DUMMYFUNCTION("""COMPUTED_VALUE"""),"EUR")</f>
        <v>EUR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 t="str">
        <f>IFERROR(__xludf.DUMMYFUNCTION("""COMPUTED_VALUE"""),"eb0bd060-3e80-4760-a7c8-f406e63b21e8")</f>
        <v>eb0bd060-3e80-4760-a7c8-f406e63b21e8</v>
      </c>
      <c r="B337" s="3" t="str">
        <f>IFERROR(__xludf.DUMMYFUNCTION("""COMPUTED_VALUE"""),"Nantes")</f>
        <v>Nantes</v>
      </c>
      <c r="C337" s="4">
        <f>IFERROR(__xludf.DUMMYFUNCTION("""COMPUTED_VALUE"""),45677.0)</f>
        <v>45677</v>
      </c>
      <c r="D337" s="3">
        <f>IFERROR(__xludf.DUMMYFUNCTION("""COMPUTED_VALUE"""),51.0)</f>
        <v>51</v>
      </c>
      <c r="E337" s="3">
        <f>IFERROR(__xludf.DUMMYFUNCTION("""COMPUTED_VALUE"""),38760.0)</f>
        <v>38760</v>
      </c>
      <c r="F337" s="3" t="str">
        <f>IFERROR(__xludf.DUMMYFUNCTION("""COMPUTED_VALUE"""),"EUR")</f>
        <v>EUR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 t="str">
        <f>IFERROR(__xludf.DUMMYFUNCTION("""COMPUTED_VALUE"""),"d48a4781-9cb4-4a88-bc67-0a8276d6f675")</f>
        <v>d48a4781-9cb4-4a88-bc67-0a8276d6f675</v>
      </c>
      <c r="B338" s="3" t="str">
        <f>IFERROR(__xludf.DUMMYFUNCTION("""COMPUTED_VALUE"""),"Toulouse")</f>
        <v>Toulouse</v>
      </c>
      <c r="C338" s="4">
        <f>IFERROR(__xludf.DUMMYFUNCTION("""COMPUTED_VALUE"""),45677.0)</f>
        <v>45677</v>
      </c>
      <c r="D338" s="3">
        <f>IFERROR(__xludf.DUMMYFUNCTION("""COMPUTED_VALUE"""),53.0)</f>
        <v>53</v>
      </c>
      <c r="E338" s="3">
        <f>IFERROR(__xludf.DUMMYFUNCTION("""COMPUTED_VALUE"""),44414.0)</f>
        <v>44414</v>
      </c>
      <c r="F338" s="3" t="str">
        <f>IFERROR(__xludf.DUMMYFUNCTION("""COMPUTED_VALUE"""),"EUR")</f>
        <v>EUR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 t="str">
        <f>IFERROR(__xludf.DUMMYFUNCTION("""COMPUTED_VALUE"""),"50044743-5d1e-4272-a3f2-8907033f0f5f")</f>
        <v>50044743-5d1e-4272-a3f2-8907033f0f5f</v>
      </c>
      <c r="B339" s="3" t="str">
        <f>IFERROR(__xludf.DUMMYFUNCTION("""COMPUTED_VALUE"""),"Nantes")</f>
        <v>Nantes</v>
      </c>
      <c r="C339" s="4">
        <f>IFERROR(__xludf.DUMMYFUNCTION("""COMPUTED_VALUE"""),45677.0)</f>
        <v>45677</v>
      </c>
      <c r="D339" s="3">
        <f>IFERROR(__xludf.DUMMYFUNCTION("""COMPUTED_VALUE"""),67.0)</f>
        <v>67</v>
      </c>
      <c r="E339" s="3">
        <f>IFERROR(__xludf.DUMMYFUNCTION("""COMPUTED_VALUE"""),62176.0)</f>
        <v>62176</v>
      </c>
      <c r="F339" s="3" t="str">
        <f>IFERROR(__xludf.DUMMYFUNCTION("""COMPUTED_VALUE"""),"EUR")</f>
        <v>EUR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 t="str">
        <f>IFERROR(__xludf.DUMMYFUNCTION("""COMPUTED_VALUE"""),"68d13614-8753-4afe-b781-9bb7f629a08d")</f>
        <v>68d13614-8753-4afe-b781-9bb7f629a08d</v>
      </c>
      <c r="B340" s="3" t="str">
        <f>IFERROR(__xludf.DUMMYFUNCTION("""COMPUTED_VALUE"""),"Toulouse")</f>
        <v>Toulouse</v>
      </c>
      <c r="C340" s="4">
        <f>IFERROR(__xludf.DUMMYFUNCTION("""COMPUTED_VALUE"""),45677.0)</f>
        <v>45677</v>
      </c>
      <c r="D340" s="3">
        <f>IFERROR(__xludf.DUMMYFUNCTION("""COMPUTED_VALUE"""),60.0)</f>
        <v>60</v>
      </c>
      <c r="E340" s="3">
        <f>IFERROR(__xludf.DUMMYFUNCTION("""COMPUTED_VALUE"""),50760.0)</f>
        <v>50760</v>
      </c>
      <c r="F340" s="3" t="str">
        <f>IFERROR(__xludf.DUMMYFUNCTION("""COMPUTED_VALUE"""),"EUR")</f>
        <v>EUR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 t="str">
        <f>IFERROR(__xludf.DUMMYFUNCTION("""COMPUTED_VALUE"""),"59199ee6-f72a-4719-bb4c-d484a9657a6a")</f>
        <v>59199ee6-f72a-4719-bb4c-d484a9657a6a</v>
      </c>
      <c r="B341" s="3" t="str">
        <f>IFERROR(__xludf.DUMMYFUNCTION("""COMPUTED_VALUE"""),"Paris")</f>
        <v>Paris</v>
      </c>
      <c r="C341" s="4">
        <f>IFERROR(__xludf.DUMMYFUNCTION("""COMPUTED_VALUE"""),45677.0)</f>
        <v>45677</v>
      </c>
      <c r="D341" s="3">
        <f>IFERROR(__xludf.DUMMYFUNCTION("""COMPUTED_VALUE"""),54.0)</f>
        <v>54</v>
      </c>
      <c r="E341" s="3">
        <f>IFERROR(__xludf.DUMMYFUNCTION("""COMPUTED_VALUE"""),47034.0)</f>
        <v>47034</v>
      </c>
      <c r="F341" s="3" t="str">
        <f>IFERROR(__xludf.DUMMYFUNCTION("""COMPUTED_VALUE"""),"EUR")</f>
        <v>EUR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 t="str">
        <f>IFERROR(__xludf.DUMMYFUNCTION("""COMPUTED_VALUE"""),"5fb619f8-ec50-47de-8a84-3829cb8862a1")</f>
        <v>5fb619f8-ec50-47de-8a84-3829cb8862a1</v>
      </c>
      <c r="B342" s="3" t="str">
        <f>IFERROR(__xludf.DUMMYFUNCTION("""COMPUTED_VALUE"""),"Lille")</f>
        <v>Lille</v>
      </c>
      <c r="C342" s="4">
        <f>IFERROR(__xludf.DUMMYFUNCTION("""COMPUTED_VALUE"""),45677.0)</f>
        <v>45677</v>
      </c>
      <c r="D342" s="3">
        <f>IFERROR(__xludf.DUMMYFUNCTION("""COMPUTED_VALUE"""),52.0)</f>
        <v>52</v>
      </c>
      <c r="E342" s="3">
        <f>IFERROR(__xludf.DUMMYFUNCTION("""COMPUTED_VALUE"""),36764.0)</f>
        <v>36764</v>
      </c>
      <c r="F342" s="3" t="str">
        <f>IFERROR(__xludf.DUMMYFUNCTION("""COMPUTED_VALUE"""),"EUR")</f>
        <v>EUR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 t="str">
        <f>IFERROR(__xludf.DUMMYFUNCTION("""COMPUTED_VALUE"""),"fb93fc87-48c0-4a6d-83c6-654a6efe173a")</f>
        <v>fb93fc87-48c0-4a6d-83c6-654a6efe173a</v>
      </c>
      <c r="B343" s="3" t="str">
        <f>IFERROR(__xludf.DUMMYFUNCTION("""COMPUTED_VALUE"""),"Lille")</f>
        <v>Lille</v>
      </c>
      <c r="C343" s="4">
        <f>IFERROR(__xludf.DUMMYFUNCTION("""COMPUTED_VALUE"""),45677.0)</f>
        <v>45677</v>
      </c>
      <c r="D343" s="3">
        <f>IFERROR(__xludf.DUMMYFUNCTION("""COMPUTED_VALUE"""),58.0)</f>
        <v>58</v>
      </c>
      <c r="E343" s="3">
        <f>IFERROR(__xludf.DUMMYFUNCTION("""COMPUTED_VALUE"""),41412.0)</f>
        <v>41412</v>
      </c>
      <c r="F343" s="3" t="str">
        <f>IFERROR(__xludf.DUMMYFUNCTION("""COMPUTED_VALUE"""),"EUR")</f>
        <v>EUR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 t="str">
        <f>IFERROR(__xludf.DUMMYFUNCTION("""COMPUTED_VALUE"""),"56779c78-fd2e-4c36-8af6-a394b4c08f91")</f>
        <v>56779c78-fd2e-4c36-8af6-a394b4c08f91</v>
      </c>
      <c r="B344" s="3" t="str">
        <f>IFERROR(__xludf.DUMMYFUNCTION("""COMPUTED_VALUE"""),"Lille")</f>
        <v>Lille</v>
      </c>
      <c r="C344" s="4">
        <f>IFERROR(__xludf.DUMMYFUNCTION("""COMPUTED_VALUE"""),45677.0)</f>
        <v>45677</v>
      </c>
      <c r="D344" s="3">
        <f>IFERROR(__xludf.DUMMYFUNCTION("""COMPUTED_VALUE"""),53.0)</f>
        <v>53</v>
      </c>
      <c r="E344" s="3">
        <f>IFERROR(__xludf.DUMMYFUNCTION("""COMPUTED_VALUE"""),40280.0)</f>
        <v>40280</v>
      </c>
      <c r="F344" s="3" t="str">
        <f>IFERROR(__xludf.DUMMYFUNCTION("""COMPUTED_VALUE"""),"EUR")</f>
        <v>EUR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 t="str">
        <f>IFERROR(__xludf.DUMMYFUNCTION("""COMPUTED_VALUE"""),"194474c1-7c19-46f7-8dec-f71591a6965f")</f>
        <v>194474c1-7c19-46f7-8dec-f71591a6965f</v>
      </c>
      <c r="B345" s="3" t="str">
        <f>IFERROR(__xludf.DUMMYFUNCTION("""COMPUTED_VALUE"""),"Lille")</f>
        <v>Lille</v>
      </c>
      <c r="C345" s="4">
        <f>IFERROR(__xludf.DUMMYFUNCTION("""COMPUTED_VALUE"""),45677.0)</f>
        <v>45677</v>
      </c>
      <c r="D345" s="3">
        <f>IFERROR(__xludf.DUMMYFUNCTION("""COMPUTED_VALUE"""),59.0)</f>
        <v>59</v>
      </c>
      <c r="E345" s="3">
        <f>IFERROR(__xludf.DUMMYFUNCTION("""COMPUTED_VALUE"""),41359.0)</f>
        <v>41359</v>
      </c>
      <c r="F345" s="3" t="str">
        <f>IFERROR(__xludf.DUMMYFUNCTION("""COMPUTED_VALUE"""),"EUR")</f>
        <v>EUR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 t="str">
        <f>IFERROR(__xludf.DUMMYFUNCTION("""COMPUTED_VALUE"""),"34051478-ed34-4deb-bc6f-4577a222ae4a")</f>
        <v>34051478-ed34-4deb-bc6f-4577a222ae4a</v>
      </c>
      <c r="B346" s="3" t="str">
        <f>IFERROR(__xludf.DUMMYFUNCTION("""COMPUTED_VALUE"""),"Lille")</f>
        <v>Lille</v>
      </c>
      <c r="C346" s="4">
        <f>IFERROR(__xludf.DUMMYFUNCTION("""COMPUTED_VALUE"""),45677.0)</f>
        <v>45677</v>
      </c>
      <c r="D346" s="3">
        <f>IFERROR(__xludf.DUMMYFUNCTION("""COMPUTED_VALUE"""),69.0)</f>
        <v>69</v>
      </c>
      <c r="E346" s="3">
        <f>IFERROR(__xludf.DUMMYFUNCTION("""COMPUTED_VALUE"""),69000.0)</f>
        <v>69000</v>
      </c>
      <c r="F346" s="3" t="str">
        <f>IFERROR(__xludf.DUMMYFUNCTION("""COMPUTED_VALUE"""),"EUR")</f>
        <v>EUR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 t="str">
        <f>IFERROR(__xludf.DUMMYFUNCTION("""COMPUTED_VALUE"""),"f35328c9-1081-47cd-b50f-e16acd3c85b5")</f>
        <v>f35328c9-1081-47cd-b50f-e16acd3c85b5</v>
      </c>
      <c r="B347" s="3" t="str">
        <f>IFERROR(__xludf.DUMMYFUNCTION("""COMPUTED_VALUE"""),"Lille")</f>
        <v>Lille</v>
      </c>
      <c r="C347" s="4">
        <f>IFERROR(__xludf.DUMMYFUNCTION("""COMPUTED_VALUE"""),45677.0)</f>
        <v>45677</v>
      </c>
      <c r="D347" s="3">
        <f>IFERROR(__xludf.DUMMYFUNCTION("""COMPUTED_VALUE"""),55.0)</f>
        <v>55</v>
      </c>
      <c r="E347" s="3">
        <f>IFERROR(__xludf.DUMMYFUNCTION("""COMPUTED_VALUE"""),39270.0)</f>
        <v>39270</v>
      </c>
      <c r="F347" s="3" t="str">
        <f>IFERROR(__xludf.DUMMYFUNCTION("""COMPUTED_VALUE"""),"EUR")</f>
        <v>EUR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 t="str">
        <f>IFERROR(__xludf.DUMMYFUNCTION("""COMPUTED_VALUE"""),"08ec59cc-81bd-4ef4-8a12-9f2408ed882f")</f>
        <v>08ec59cc-81bd-4ef4-8a12-9f2408ed882f</v>
      </c>
      <c r="B348" s="3" t="str">
        <f>IFERROR(__xludf.DUMMYFUNCTION("""COMPUTED_VALUE"""),"Nantes")</f>
        <v>Nantes</v>
      </c>
      <c r="C348" s="4">
        <f>IFERROR(__xludf.DUMMYFUNCTION("""COMPUTED_VALUE"""),45677.0)</f>
        <v>45677</v>
      </c>
      <c r="D348" s="3">
        <f>IFERROR(__xludf.DUMMYFUNCTION("""COMPUTED_VALUE"""),70.0)</f>
        <v>70</v>
      </c>
      <c r="E348" s="3">
        <f>IFERROR(__xludf.DUMMYFUNCTION("""COMPUTED_VALUE"""),77700.0)</f>
        <v>77700</v>
      </c>
      <c r="F348" s="3" t="str">
        <f>IFERROR(__xludf.DUMMYFUNCTION("""COMPUTED_VALUE"""),"EUR")</f>
        <v>EUR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 t="str">
        <f>IFERROR(__xludf.DUMMYFUNCTION("""COMPUTED_VALUE"""),"7761bfe5-39d2-4335-8a22-c83f154b724e")</f>
        <v>7761bfe5-39d2-4335-8a22-c83f154b724e</v>
      </c>
      <c r="B349" s="3" t="str">
        <f>IFERROR(__xludf.DUMMYFUNCTION("""COMPUTED_VALUE"""),"Toulouse")</f>
        <v>Toulouse</v>
      </c>
      <c r="C349" s="4">
        <f>IFERROR(__xludf.DUMMYFUNCTION("""COMPUTED_VALUE"""),45677.0)</f>
        <v>45677</v>
      </c>
      <c r="D349" s="3">
        <f>IFERROR(__xludf.DUMMYFUNCTION("""COMPUTED_VALUE"""),59.0)</f>
        <v>59</v>
      </c>
      <c r="E349" s="3">
        <f>IFERROR(__xludf.DUMMYFUNCTION("""COMPUTED_VALUE"""),41831.0)</f>
        <v>41831</v>
      </c>
      <c r="F349" s="3" t="str">
        <f>IFERROR(__xludf.DUMMYFUNCTION("""COMPUTED_VALUE"""),"EUR")</f>
        <v>EUR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 t="str">
        <f>IFERROR(__xludf.DUMMYFUNCTION("""COMPUTED_VALUE"""),"a043c0b7-294c-4997-b488-520126daac28")</f>
        <v>a043c0b7-294c-4997-b488-520126daac28</v>
      </c>
      <c r="B350" s="3" t="str">
        <f>IFERROR(__xludf.DUMMYFUNCTION("""COMPUTED_VALUE"""),"Toulouse")</f>
        <v>Toulouse</v>
      </c>
      <c r="C350" s="4">
        <f>IFERROR(__xludf.DUMMYFUNCTION("""COMPUTED_VALUE"""),45677.0)</f>
        <v>45677</v>
      </c>
      <c r="D350" s="3">
        <f>IFERROR(__xludf.DUMMYFUNCTION("""COMPUTED_VALUE"""),57.0)</f>
        <v>57</v>
      </c>
      <c r="E350" s="3">
        <f>IFERROR(__xludf.DUMMYFUNCTION("""COMPUTED_VALUE"""),49989.0)</f>
        <v>49989</v>
      </c>
      <c r="F350" s="3" t="str">
        <f>IFERROR(__xludf.DUMMYFUNCTION("""COMPUTED_VALUE"""),"EUR")</f>
        <v>EUR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 t="str">
        <f>IFERROR(__xludf.DUMMYFUNCTION("""COMPUTED_VALUE"""),"92656823-acf1-48a0-b9da-7d7ea8797a82")</f>
        <v>92656823-acf1-48a0-b9da-7d7ea8797a82</v>
      </c>
      <c r="B351" s="3" t="str">
        <f>IFERROR(__xludf.DUMMYFUNCTION("""COMPUTED_VALUE"""),"Lille")</f>
        <v>Lille</v>
      </c>
      <c r="C351" s="4">
        <f>IFERROR(__xludf.DUMMYFUNCTION("""COMPUTED_VALUE"""),45677.0)</f>
        <v>45677</v>
      </c>
      <c r="D351" s="3">
        <f>IFERROR(__xludf.DUMMYFUNCTION("""COMPUTED_VALUE"""),70.0)</f>
        <v>70</v>
      </c>
      <c r="E351" s="3">
        <f>IFERROR(__xludf.DUMMYFUNCTION("""COMPUTED_VALUE"""),73150.0)</f>
        <v>73150</v>
      </c>
      <c r="F351" s="3" t="str">
        <f>IFERROR(__xludf.DUMMYFUNCTION("""COMPUTED_VALUE"""),"EUR")</f>
        <v>EUR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 t="str">
        <f>IFERROR(__xludf.DUMMYFUNCTION("""COMPUTED_VALUE"""),"11a97369-238a-4d4f-a27b-083e8df81a60")</f>
        <v>11a97369-238a-4d4f-a27b-083e8df81a60</v>
      </c>
      <c r="B352" s="3" t="str">
        <f>IFERROR(__xludf.DUMMYFUNCTION("""COMPUTED_VALUE"""),"Lille")</f>
        <v>Lille</v>
      </c>
      <c r="C352" s="4">
        <f>IFERROR(__xludf.DUMMYFUNCTION("""COMPUTED_VALUE"""),45677.0)</f>
        <v>45677</v>
      </c>
      <c r="D352" s="3">
        <f>IFERROR(__xludf.DUMMYFUNCTION("""COMPUTED_VALUE"""),52.0)</f>
        <v>52</v>
      </c>
      <c r="E352" s="3">
        <f>IFERROR(__xludf.DUMMYFUNCTION("""COMPUTED_VALUE"""),39988.0)</f>
        <v>39988</v>
      </c>
      <c r="F352" s="3" t="str">
        <f>IFERROR(__xludf.DUMMYFUNCTION("""COMPUTED_VALUE"""),"EUR")</f>
        <v>EUR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 t="str">
        <f>IFERROR(__xludf.DUMMYFUNCTION("""COMPUTED_VALUE"""),"75711b66-d06a-4714-b36c-94fe2206734b")</f>
        <v>75711b66-d06a-4714-b36c-94fe2206734b</v>
      </c>
      <c r="B353" s="3" t="str">
        <f>IFERROR(__xludf.DUMMYFUNCTION("""COMPUTED_VALUE"""),"Bordeaux")</f>
        <v>Bordeaux</v>
      </c>
      <c r="C353" s="4">
        <f>IFERROR(__xludf.DUMMYFUNCTION("""COMPUTED_VALUE"""),45677.0)</f>
        <v>45677</v>
      </c>
      <c r="D353" s="3">
        <f>IFERROR(__xludf.DUMMYFUNCTION("""COMPUTED_VALUE"""),60.0)</f>
        <v>60</v>
      </c>
      <c r="E353" s="3">
        <f>IFERROR(__xludf.DUMMYFUNCTION("""COMPUTED_VALUE"""),54000.0)</f>
        <v>54000</v>
      </c>
      <c r="F353" s="3" t="str">
        <f>IFERROR(__xludf.DUMMYFUNCTION("""COMPUTED_VALUE"""),"EUR")</f>
        <v>EUR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 t="str">
        <f>IFERROR(__xludf.DUMMYFUNCTION("""COMPUTED_VALUE"""),"fd2a507b-7caa-436c-b4e5-40f463cb4ec3")</f>
        <v>fd2a507b-7caa-436c-b4e5-40f463cb4ec3</v>
      </c>
      <c r="B354" s="3" t="str">
        <f>IFERROR(__xludf.DUMMYFUNCTION("""COMPUTED_VALUE"""),"Bordeaux")</f>
        <v>Bordeaux</v>
      </c>
      <c r="C354" s="4">
        <f>IFERROR(__xludf.DUMMYFUNCTION("""COMPUTED_VALUE"""),45677.0)</f>
        <v>45677</v>
      </c>
      <c r="D354" s="3">
        <f>IFERROR(__xludf.DUMMYFUNCTION("""COMPUTED_VALUE"""),65.0)</f>
        <v>65</v>
      </c>
      <c r="E354" s="3">
        <f>IFERROR(__xludf.DUMMYFUNCTION("""COMPUTED_VALUE"""),58890.0)</f>
        <v>58890</v>
      </c>
      <c r="F354" s="3" t="str">
        <f>IFERROR(__xludf.DUMMYFUNCTION("""COMPUTED_VALUE"""),"EUR")</f>
        <v>EUR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 t="str">
        <f>IFERROR(__xludf.DUMMYFUNCTION("""COMPUTED_VALUE"""),"c2fe1247-40ba-4a44-8bcf-02d1e9c71584")</f>
        <v>c2fe1247-40ba-4a44-8bcf-02d1e9c71584</v>
      </c>
      <c r="B355" s="3" t="str">
        <f>IFERROR(__xludf.DUMMYFUNCTION("""COMPUTED_VALUE"""),"Lille")</f>
        <v>Lille</v>
      </c>
      <c r="C355" s="4">
        <f>IFERROR(__xludf.DUMMYFUNCTION("""COMPUTED_VALUE"""),45677.0)</f>
        <v>45677</v>
      </c>
      <c r="D355" s="3">
        <f>IFERROR(__xludf.DUMMYFUNCTION("""COMPUTED_VALUE"""),60.0)</f>
        <v>60</v>
      </c>
      <c r="E355" s="3">
        <f>IFERROR(__xludf.DUMMYFUNCTION("""COMPUTED_VALUE"""),53400.0)</f>
        <v>53400</v>
      </c>
      <c r="F355" s="3" t="str">
        <f>IFERROR(__xludf.DUMMYFUNCTION("""COMPUTED_VALUE"""),"EUR")</f>
        <v>EUR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 t="str">
        <f>IFERROR(__xludf.DUMMYFUNCTION("""COMPUTED_VALUE"""),"c3b89ab8-c3dc-4c43-8459-3ea38b817cdd")</f>
        <v>c3b89ab8-c3dc-4c43-8459-3ea38b817cdd</v>
      </c>
      <c r="B356" s="3" t="str">
        <f>IFERROR(__xludf.DUMMYFUNCTION("""COMPUTED_VALUE"""),"Toulouse")</f>
        <v>Toulouse</v>
      </c>
      <c r="C356" s="4">
        <f>IFERROR(__xludf.DUMMYFUNCTION("""COMPUTED_VALUE"""),45684.0)</f>
        <v>45684</v>
      </c>
      <c r="D356" s="3">
        <f>IFERROR(__xludf.DUMMYFUNCTION("""COMPUTED_VALUE"""),57.0)</f>
        <v>57</v>
      </c>
      <c r="E356" s="3">
        <f>IFERROR(__xludf.DUMMYFUNCTION("""COMPUTED_VALUE"""),40470.0)</f>
        <v>40470</v>
      </c>
      <c r="F356" s="3" t="str">
        <f>IFERROR(__xludf.DUMMYFUNCTION("""COMPUTED_VALUE"""),"EUR")</f>
        <v>EUR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 t="str">
        <f>IFERROR(__xludf.DUMMYFUNCTION("""COMPUTED_VALUE"""),"5d6b1cdc-4f73-4ba0-a5ba-210109d7266a")</f>
        <v>5d6b1cdc-4f73-4ba0-a5ba-210109d7266a</v>
      </c>
      <c r="B357" s="3" t="str">
        <f>IFERROR(__xludf.DUMMYFUNCTION("""COMPUTED_VALUE"""),"Paris")</f>
        <v>Paris</v>
      </c>
      <c r="C357" s="4">
        <f>IFERROR(__xludf.DUMMYFUNCTION("""COMPUTED_VALUE"""),45684.0)</f>
        <v>45684</v>
      </c>
      <c r="D357" s="3">
        <f>IFERROR(__xludf.DUMMYFUNCTION("""COMPUTED_VALUE"""),58.0)</f>
        <v>58</v>
      </c>
      <c r="E357" s="3">
        <f>IFERROR(__xludf.DUMMYFUNCTION("""COMPUTED_VALUE"""),41644.0)</f>
        <v>41644</v>
      </c>
      <c r="F357" s="3" t="str">
        <f>IFERROR(__xludf.DUMMYFUNCTION("""COMPUTED_VALUE"""),"EUR")</f>
        <v>EUR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 t="str">
        <f>IFERROR(__xludf.DUMMYFUNCTION("""COMPUTED_VALUE"""),"7a43005f-a8ee-4c46-9d56-7543a354be19")</f>
        <v>7a43005f-a8ee-4c46-9d56-7543a354be19</v>
      </c>
      <c r="B358" s="3" t="str">
        <f>IFERROR(__xludf.DUMMYFUNCTION("""COMPUTED_VALUE"""),"Paris")</f>
        <v>Paris</v>
      </c>
      <c r="C358" s="4">
        <f>IFERROR(__xludf.DUMMYFUNCTION("""COMPUTED_VALUE"""),45684.0)</f>
        <v>45684</v>
      </c>
      <c r="D358" s="3">
        <f>IFERROR(__xludf.DUMMYFUNCTION("""COMPUTED_VALUE"""),55.0)</f>
        <v>55</v>
      </c>
      <c r="E358" s="3">
        <f>IFERROR(__xludf.DUMMYFUNCTION("""COMPUTED_VALUE"""),44275.0)</f>
        <v>44275</v>
      </c>
      <c r="F358" s="3" t="str">
        <f>IFERROR(__xludf.DUMMYFUNCTION("""COMPUTED_VALUE"""),"EUR")</f>
        <v>EUR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 t="str">
        <f>IFERROR(__xludf.DUMMYFUNCTION("""COMPUTED_VALUE"""),"ca0ab00c-57bf-4a74-a79a-250bc67889ba")</f>
        <v>ca0ab00c-57bf-4a74-a79a-250bc67889ba</v>
      </c>
      <c r="B359" s="3" t="str">
        <f>IFERROR(__xludf.DUMMYFUNCTION("""COMPUTED_VALUE"""),"Bordeaux")</f>
        <v>Bordeaux</v>
      </c>
      <c r="C359" s="4">
        <f>IFERROR(__xludf.DUMMYFUNCTION("""COMPUTED_VALUE"""),45684.0)</f>
        <v>45684</v>
      </c>
      <c r="D359" s="3">
        <f>IFERROR(__xludf.DUMMYFUNCTION("""COMPUTED_VALUE"""),66.0)</f>
        <v>66</v>
      </c>
      <c r="E359" s="3">
        <f>IFERROR(__xludf.DUMMYFUNCTION("""COMPUTED_VALUE"""),63294.0)</f>
        <v>63294</v>
      </c>
      <c r="F359" s="3" t="str">
        <f>IFERROR(__xludf.DUMMYFUNCTION("""COMPUTED_VALUE"""),"EUR")</f>
        <v>EUR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 t="str">
        <f>IFERROR(__xludf.DUMMYFUNCTION("""COMPUTED_VALUE"""),"29c33478-d4dd-4668-abc1-cba3af0aa5ee")</f>
        <v>29c33478-d4dd-4668-abc1-cba3af0aa5ee</v>
      </c>
      <c r="B360" s="3" t="str">
        <f>IFERROR(__xludf.DUMMYFUNCTION("""COMPUTED_VALUE"""),"Paris")</f>
        <v>Paris</v>
      </c>
      <c r="C360" s="4">
        <f>IFERROR(__xludf.DUMMYFUNCTION("""COMPUTED_VALUE"""),45684.0)</f>
        <v>45684</v>
      </c>
      <c r="D360" s="3">
        <f>IFERROR(__xludf.DUMMYFUNCTION("""COMPUTED_VALUE"""),70.0)</f>
        <v>70</v>
      </c>
      <c r="E360" s="3">
        <f>IFERROR(__xludf.DUMMYFUNCTION("""COMPUTED_VALUE"""),73150.0)</f>
        <v>73150</v>
      </c>
      <c r="F360" s="3" t="str">
        <f>IFERROR(__xludf.DUMMYFUNCTION("""COMPUTED_VALUE"""),"EUR")</f>
        <v>EUR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 t="str">
        <f>IFERROR(__xludf.DUMMYFUNCTION("""COMPUTED_VALUE"""),"f500a8e5-79c6-4792-9d4c-66616d1c5503")</f>
        <v>f500a8e5-79c6-4792-9d4c-66616d1c5503</v>
      </c>
      <c r="B361" s="3" t="str">
        <f>IFERROR(__xludf.DUMMYFUNCTION("""COMPUTED_VALUE"""),"Toulouse")</f>
        <v>Toulouse</v>
      </c>
      <c r="C361" s="4">
        <f>IFERROR(__xludf.DUMMYFUNCTION("""COMPUTED_VALUE"""),45684.0)</f>
        <v>45684</v>
      </c>
      <c r="D361" s="3">
        <f>IFERROR(__xludf.DUMMYFUNCTION("""COMPUTED_VALUE"""),53.0)</f>
        <v>53</v>
      </c>
      <c r="E361" s="3">
        <f>IFERROR(__xludf.DUMMYFUNCTION("""COMPUTED_VALUE"""),37100.0)</f>
        <v>37100</v>
      </c>
      <c r="F361" s="3" t="str">
        <f>IFERROR(__xludf.DUMMYFUNCTION("""COMPUTED_VALUE"""),"EUR")</f>
        <v>EUR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 t="str">
        <f>IFERROR(__xludf.DUMMYFUNCTION("""COMPUTED_VALUE"""),"001dc755-ba87-47ac-8464-47e6c7fb9ed0")</f>
        <v>001dc755-ba87-47ac-8464-47e6c7fb9ed0</v>
      </c>
      <c r="B362" s="3" t="str">
        <f>IFERROR(__xludf.DUMMYFUNCTION("""COMPUTED_VALUE"""),"Nantes")</f>
        <v>Nantes</v>
      </c>
      <c r="C362" s="4">
        <f>IFERROR(__xludf.DUMMYFUNCTION("""COMPUTED_VALUE"""),45684.0)</f>
        <v>45684</v>
      </c>
      <c r="D362" s="3">
        <f>IFERROR(__xludf.DUMMYFUNCTION("""COMPUTED_VALUE"""),59.0)</f>
        <v>59</v>
      </c>
      <c r="E362" s="3">
        <f>IFERROR(__xludf.DUMMYFUNCTION("""COMPUTED_VALUE"""),49737.0)</f>
        <v>49737</v>
      </c>
      <c r="F362" s="3" t="str">
        <f>IFERROR(__xludf.DUMMYFUNCTION("""COMPUTED_VALUE"""),"EUR")</f>
        <v>EUR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 t="str">
        <f>IFERROR(__xludf.DUMMYFUNCTION("""COMPUTED_VALUE"""),"aa6583d6-5de2-4ad9-8472-db89f8696ee6")</f>
        <v>aa6583d6-5de2-4ad9-8472-db89f8696ee6</v>
      </c>
      <c r="B363" s="3" t="str">
        <f>IFERROR(__xludf.DUMMYFUNCTION("""COMPUTED_VALUE"""),"Nantes")</f>
        <v>Nantes</v>
      </c>
      <c r="C363" s="4">
        <f>IFERROR(__xludf.DUMMYFUNCTION("""COMPUTED_VALUE"""),45684.0)</f>
        <v>45684</v>
      </c>
      <c r="D363" s="3">
        <f>IFERROR(__xludf.DUMMYFUNCTION("""COMPUTED_VALUE"""),55.0)</f>
        <v>55</v>
      </c>
      <c r="E363" s="3">
        <f>IFERROR(__xludf.DUMMYFUNCTION("""COMPUTED_VALUE"""),38555.0)</f>
        <v>38555</v>
      </c>
      <c r="F363" s="3" t="str">
        <f>IFERROR(__xludf.DUMMYFUNCTION("""COMPUTED_VALUE"""),"EUR")</f>
        <v>EUR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 t="str">
        <f>IFERROR(__xludf.DUMMYFUNCTION("""COMPUTED_VALUE"""),"734cafc0-e649-47f7-ae9b-4cc025061a19")</f>
        <v>734cafc0-e649-47f7-ae9b-4cc025061a19</v>
      </c>
      <c r="B364" s="3" t="str">
        <f>IFERROR(__xludf.DUMMYFUNCTION("""COMPUTED_VALUE"""),"Paris")</f>
        <v>Paris</v>
      </c>
      <c r="C364" s="4">
        <f>IFERROR(__xludf.DUMMYFUNCTION("""COMPUTED_VALUE"""),45684.0)</f>
        <v>45684</v>
      </c>
      <c r="D364" s="3">
        <f>IFERROR(__xludf.DUMMYFUNCTION("""COMPUTED_VALUE"""),53.0)</f>
        <v>53</v>
      </c>
      <c r="E364" s="3">
        <f>IFERROR(__xludf.DUMMYFUNCTION("""COMPUTED_VALUE"""),45580.0)</f>
        <v>45580</v>
      </c>
      <c r="F364" s="3" t="str">
        <f>IFERROR(__xludf.DUMMYFUNCTION("""COMPUTED_VALUE"""),"EUR")</f>
        <v>EUR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 t="str">
        <f>IFERROR(__xludf.DUMMYFUNCTION("""COMPUTED_VALUE"""),"5fb619f8-ec50-47de-8a84-3829cb8862a1")</f>
        <v>5fb619f8-ec50-47de-8a84-3829cb8862a1</v>
      </c>
      <c r="B365" s="3" t="str">
        <f>IFERROR(__xludf.DUMMYFUNCTION("""COMPUTED_VALUE"""),"Lille")</f>
        <v>Lille</v>
      </c>
      <c r="C365" s="4">
        <f>IFERROR(__xludf.DUMMYFUNCTION("""COMPUTED_VALUE"""),45684.0)</f>
        <v>45684</v>
      </c>
      <c r="D365" s="3">
        <f>IFERROR(__xludf.DUMMYFUNCTION("""COMPUTED_VALUE"""),56.0)</f>
        <v>56</v>
      </c>
      <c r="E365" s="3">
        <f>IFERROR(__xludf.DUMMYFUNCTION("""COMPUTED_VALUE"""),40488.0)</f>
        <v>40488</v>
      </c>
      <c r="F365" s="3" t="str">
        <f>IFERROR(__xludf.DUMMYFUNCTION("""COMPUTED_VALUE"""),"EUR")</f>
        <v>EUR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 t="str">
        <f>IFERROR(__xludf.DUMMYFUNCTION("""COMPUTED_VALUE"""),"0a6400a9-1eea-420c-903f-50825d0969c4")</f>
        <v>0a6400a9-1eea-420c-903f-50825d0969c4</v>
      </c>
      <c r="B366" s="3" t="str">
        <f>IFERROR(__xludf.DUMMYFUNCTION("""COMPUTED_VALUE"""),"Toulouse")</f>
        <v>Toulouse</v>
      </c>
      <c r="C366" s="4">
        <f>IFERROR(__xludf.DUMMYFUNCTION("""COMPUTED_VALUE"""),45684.0)</f>
        <v>45684</v>
      </c>
      <c r="D366" s="3">
        <f>IFERROR(__xludf.DUMMYFUNCTION("""COMPUTED_VALUE"""),64.0)</f>
        <v>64</v>
      </c>
      <c r="E366" s="3">
        <f>IFERROR(__xludf.DUMMYFUNCTION("""COMPUTED_VALUE"""),59456.0)</f>
        <v>59456</v>
      </c>
      <c r="F366" s="3" t="str">
        <f>IFERROR(__xludf.DUMMYFUNCTION("""COMPUTED_VALUE"""),"EUR")</f>
        <v>EUR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 t="str">
        <f>IFERROR(__xludf.DUMMYFUNCTION("""COMPUTED_VALUE"""),"dee6e575-7ce1-464f-9ac0-7f7487b241e4")</f>
        <v>dee6e575-7ce1-464f-9ac0-7f7487b241e4</v>
      </c>
      <c r="B367" s="3" t="str">
        <f>IFERROR(__xludf.DUMMYFUNCTION("""COMPUTED_VALUE"""),"Nantes")</f>
        <v>Nantes</v>
      </c>
      <c r="C367" s="4">
        <f>IFERROR(__xludf.DUMMYFUNCTION("""COMPUTED_VALUE"""),45684.0)</f>
        <v>45684</v>
      </c>
      <c r="D367" s="3">
        <f>IFERROR(__xludf.DUMMYFUNCTION("""COMPUTED_VALUE"""),69.0)</f>
        <v>69</v>
      </c>
      <c r="E367" s="3">
        <f>IFERROR(__xludf.DUMMYFUNCTION("""COMPUTED_VALUE"""),64170.0)</f>
        <v>64170</v>
      </c>
      <c r="F367" s="3" t="str">
        <f>IFERROR(__xludf.DUMMYFUNCTION("""COMPUTED_VALUE"""),"EUR")</f>
        <v>EUR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 t="str">
        <f>IFERROR(__xludf.DUMMYFUNCTION("""COMPUTED_VALUE"""),"6498c12c-5d53-4234-a952-d669f5da80c3")</f>
        <v>6498c12c-5d53-4234-a952-d669f5da80c3</v>
      </c>
      <c r="B368" s="3" t="str">
        <f>IFERROR(__xludf.DUMMYFUNCTION("""COMPUTED_VALUE"""),"Paris")</f>
        <v>Paris</v>
      </c>
      <c r="C368" s="4">
        <f>IFERROR(__xludf.DUMMYFUNCTION("""COMPUTED_VALUE"""),45684.0)</f>
        <v>45684</v>
      </c>
      <c r="D368" s="3">
        <f>IFERROR(__xludf.DUMMYFUNCTION("""COMPUTED_VALUE"""),51.0)</f>
        <v>51</v>
      </c>
      <c r="E368" s="3">
        <f>IFERROR(__xludf.DUMMYFUNCTION("""COMPUTED_VALUE"""),42585.0)</f>
        <v>42585</v>
      </c>
      <c r="F368" s="3" t="str">
        <f>IFERROR(__xludf.DUMMYFUNCTION("""COMPUTED_VALUE"""),"EUR")</f>
        <v>EUR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 t="str">
        <f>IFERROR(__xludf.DUMMYFUNCTION("""COMPUTED_VALUE"""),"ce4ea715-d32f-45dd-9150-8f600184f5b3")</f>
        <v>ce4ea715-d32f-45dd-9150-8f600184f5b3</v>
      </c>
      <c r="B369" s="3" t="str">
        <f>IFERROR(__xludf.DUMMYFUNCTION("""COMPUTED_VALUE"""),"Bordeaux")</f>
        <v>Bordeaux</v>
      </c>
      <c r="C369" s="4">
        <f>IFERROR(__xludf.DUMMYFUNCTION("""COMPUTED_VALUE"""),45684.0)</f>
        <v>45684</v>
      </c>
      <c r="D369" s="3">
        <f>IFERROR(__xludf.DUMMYFUNCTION("""COMPUTED_VALUE"""),59.0)</f>
        <v>59</v>
      </c>
      <c r="E369" s="3">
        <f>IFERROR(__xludf.DUMMYFUNCTION("""COMPUTED_VALUE"""),41595.0)</f>
        <v>41595</v>
      </c>
      <c r="F369" s="3" t="str">
        <f>IFERROR(__xludf.DUMMYFUNCTION("""COMPUTED_VALUE"""),"EUR")</f>
        <v>EUR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 t="str">
        <f>IFERROR(__xludf.DUMMYFUNCTION("""COMPUTED_VALUE"""),"0eb61463-1dd6-4bf7-8298-5c1c87028262")</f>
        <v>0eb61463-1dd6-4bf7-8298-5c1c87028262</v>
      </c>
      <c r="B370" s="3" t="str">
        <f>IFERROR(__xludf.DUMMYFUNCTION("""COMPUTED_VALUE"""),"Bordeaux")</f>
        <v>Bordeaux</v>
      </c>
      <c r="C370" s="4">
        <f>IFERROR(__xludf.DUMMYFUNCTION("""COMPUTED_VALUE"""),45684.0)</f>
        <v>45684</v>
      </c>
      <c r="D370" s="3">
        <f>IFERROR(__xludf.DUMMYFUNCTION("""COMPUTED_VALUE"""),65.0)</f>
        <v>65</v>
      </c>
      <c r="E370" s="3">
        <f>IFERROR(__xludf.DUMMYFUNCTION("""COMPUTED_VALUE"""),63765.0)</f>
        <v>63765</v>
      </c>
      <c r="F370" s="3" t="str">
        <f>IFERROR(__xludf.DUMMYFUNCTION("""COMPUTED_VALUE"""),"EUR")</f>
        <v>EUR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 t="str">
        <f>IFERROR(__xludf.DUMMYFUNCTION("""COMPUTED_VALUE"""),"b3aa4a39-8c7d-480e-951a-df805c211e46")</f>
        <v>b3aa4a39-8c7d-480e-951a-df805c211e46</v>
      </c>
      <c r="B371" s="3" t="str">
        <f>IFERROR(__xludf.DUMMYFUNCTION("""COMPUTED_VALUE"""),"Bordeaux")</f>
        <v>Bordeaux</v>
      </c>
      <c r="C371" s="4">
        <f>IFERROR(__xludf.DUMMYFUNCTION("""COMPUTED_VALUE"""),45684.0)</f>
        <v>45684</v>
      </c>
      <c r="D371" s="3">
        <f>IFERROR(__xludf.DUMMYFUNCTION("""COMPUTED_VALUE"""),52.0)</f>
        <v>52</v>
      </c>
      <c r="E371" s="3">
        <f>IFERROR(__xludf.DUMMYFUNCTION("""COMPUTED_VALUE"""),37388.0)</f>
        <v>37388</v>
      </c>
      <c r="F371" s="3" t="str">
        <f>IFERROR(__xludf.DUMMYFUNCTION("""COMPUTED_VALUE"""),"EUR")</f>
        <v>EUR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 t="str">
        <f>IFERROR(__xludf.DUMMYFUNCTION("""COMPUTED_VALUE"""),"56779c78-fd2e-4c36-8af6-a394b4c08f91")</f>
        <v>56779c78-fd2e-4c36-8af6-a394b4c08f91</v>
      </c>
      <c r="B372" s="3" t="str">
        <f>IFERROR(__xludf.DUMMYFUNCTION("""COMPUTED_VALUE"""),"Lille")</f>
        <v>Lille</v>
      </c>
      <c r="C372" s="4">
        <f>IFERROR(__xludf.DUMMYFUNCTION("""COMPUTED_VALUE"""),45684.0)</f>
        <v>45684</v>
      </c>
      <c r="D372" s="3">
        <f>IFERROR(__xludf.DUMMYFUNCTION("""COMPUTED_VALUE"""),55.0)</f>
        <v>55</v>
      </c>
      <c r="E372" s="3">
        <f>IFERROR(__xludf.DUMMYFUNCTION("""COMPUTED_VALUE"""),38555.0)</f>
        <v>38555</v>
      </c>
      <c r="F372" s="3" t="str">
        <f>IFERROR(__xludf.DUMMYFUNCTION("""COMPUTED_VALUE"""),"EUR")</f>
        <v>EUR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 t="str">
        <f>IFERROR(__xludf.DUMMYFUNCTION("""COMPUTED_VALUE"""),"59199ee6-f72a-4719-bb4c-d484a9657a6a")</f>
        <v>59199ee6-f72a-4719-bb4c-d484a9657a6a</v>
      </c>
      <c r="B373" s="3" t="str">
        <f>IFERROR(__xludf.DUMMYFUNCTION("""COMPUTED_VALUE"""),"Paris")</f>
        <v>Paris</v>
      </c>
      <c r="C373" s="4">
        <f>IFERROR(__xludf.DUMMYFUNCTION("""COMPUTED_VALUE"""),45684.0)</f>
        <v>45684</v>
      </c>
      <c r="D373" s="3">
        <f>IFERROR(__xludf.DUMMYFUNCTION("""COMPUTED_VALUE"""),55.0)</f>
        <v>55</v>
      </c>
      <c r="E373" s="3">
        <f>IFERROR(__xludf.DUMMYFUNCTION("""COMPUTED_VALUE"""),43175.0)</f>
        <v>43175</v>
      </c>
      <c r="F373" s="3" t="str">
        <f>IFERROR(__xludf.DUMMYFUNCTION("""COMPUTED_VALUE"""),"EUR")</f>
        <v>EUR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 t="str">
        <f>IFERROR(__xludf.DUMMYFUNCTION("""COMPUTED_VALUE"""),"fad769ad-ca83-4ecd-9789-787625b5ad01")</f>
        <v>fad769ad-ca83-4ecd-9789-787625b5ad01</v>
      </c>
      <c r="B374" s="3" t="str">
        <f>IFERROR(__xludf.DUMMYFUNCTION("""COMPUTED_VALUE"""),"Nantes")</f>
        <v>Nantes</v>
      </c>
      <c r="C374" s="4">
        <f>IFERROR(__xludf.DUMMYFUNCTION("""COMPUTED_VALUE"""),45684.0)</f>
        <v>45684</v>
      </c>
      <c r="D374" s="3">
        <f>IFERROR(__xludf.DUMMYFUNCTION("""COMPUTED_VALUE"""),64.0)</f>
        <v>64</v>
      </c>
      <c r="E374" s="3">
        <f>IFERROR(__xludf.DUMMYFUNCTION("""COMPUTED_VALUE"""),61504.0)</f>
        <v>61504</v>
      </c>
      <c r="F374" s="3" t="str">
        <f>IFERROR(__xludf.DUMMYFUNCTION("""COMPUTED_VALUE"""),"EUR")</f>
        <v>EUR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 t="str">
        <f>IFERROR(__xludf.DUMMYFUNCTION("""COMPUTED_VALUE"""),"cbf917d0-23c5-4e38-9c82-96d5eb9c6a62")</f>
        <v>cbf917d0-23c5-4e38-9c82-96d5eb9c6a62</v>
      </c>
      <c r="B375" s="3" t="str">
        <f>IFERROR(__xludf.DUMMYFUNCTION("""COMPUTED_VALUE"""),"Paris")</f>
        <v>Paris</v>
      </c>
      <c r="C375" s="4">
        <f>IFERROR(__xludf.DUMMYFUNCTION("""COMPUTED_VALUE"""),45684.0)</f>
        <v>45684</v>
      </c>
      <c r="D375" s="3">
        <f>IFERROR(__xludf.DUMMYFUNCTION("""COMPUTED_VALUE"""),57.0)</f>
        <v>57</v>
      </c>
      <c r="E375" s="3">
        <f>IFERROR(__xludf.DUMMYFUNCTION("""COMPUTED_VALUE"""),48906.0)</f>
        <v>48906</v>
      </c>
      <c r="F375" s="3" t="str">
        <f>IFERROR(__xludf.DUMMYFUNCTION("""COMPUTED_VALUE"""),"EUR")</f>
        <v>EUR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 t="str">
        <f>IFERROR(__xludf.DUMMYFUNCTION("""COMPUTED_VALUE"""),"65d3ddaa-1579-4da5-bb3a-af99fa5f2b6d")</f>
        <v>65d3ddaa-1579-4da5-bb3a-af99fa5f2b6d</v>
      </c>
      <c r="B376" s="3" t="str">
        <f>IFERROR(__xludf.DUMMYFUNCTION("""COMPUTED_VALUE"""),"Paris")</f>
        <v>Paris</v>
      </c>
      <c r="C376" s="4">
        <f>IFERROR(__xludf.DUMMYFUNCTION("""COMPUTED_VALUE"""),45684.0)</f>
        <v>45684</v>
      </c>
      <c r="D376" s="3">
        <f>IFERROR(__xludf.DUMMYFUNCTION("""COMPUTED_VALUE"""),61.0)</f>
        <v>61</v>
      </c>
      <c r="E376" s="3">
        <f>IFERROR(__xludf.DUMMYFUNCTION("""COMPUTED_VALUE"""),63684.0)</f>
        <v>63684</v>
      </c>
      <c r="F376" s="3" t="str">
        <f>IFERROR(__xludf.DUMMYFUNCTION("""COMPUTED_VALUE"""),"EUR")</f>
        <v>EUR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 t="str">
        <f>IFERROR(__xludf.DUMMYFUNCTION("""COMPUTED_VALUE"""),"35eae0d3-ff3e-452b-9664-68e907d4e707")</f>
        <v>35eae0d3-ff3e-452b-9664-68e907d4e707</v>
      </c>
      <c r="B377" s="3" t="str">
        <f>IFERROR(__xludf.DUMMYFUNCTION("""COMPUTED_VALUE"""),"Bordeaux")</f>
        <v>Bordeaux</v>
      </c>
      <c r="C377" s="4">
        <f>IFERROR(__xludf.DUMMYFUNCTION("""COMPUTED_VALUE"""),45684.0)</f>
        <v>45684</v>
      </c>
      <c r="D377" s="3">
        <f>IFERROR(__xludf.DUMMYFUNCTION("""COMPUTED_VALUE"""),55.0)</f>
        <v>55</v>
      </c>
      <c r="E377" s="3">
        <f>IFERROR(__xludf.DUMMYFUNCTION("""COMPUTED_VALUE"""),47300.0)</f>
        <v>47300</v>
      </c>
      <c r="F377" s="3" t="str">
        <f>IFERROR(__xludf.DUMMYFUNCTION("""COMPUTED_VALUE"""),"EUR")</f>
        <v>EUR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 t="str">
        <f>IFERROR(__xludf.DUMMYFUNCTION("""COMPUTED_VALUE"""),"e4f2680d-03b7-4c72-a59b-930d55600e16")</f>
        <v>e4f2680d-03b7-4c72-a59b-930d55600e16</v>
      </c>
      <c r="B378" s="3" t="str">
        <f>IFERROR(__xludf.DUMMYFUNCTION("""COMPUTED_VALUE"""),"Paris")</f>
        <v>Paris</v>
      </c>
      <c r="C378" s="4">
        <f>IFERROR(__xludf.DUMMYFUNCTION("""COMPUTED_VALUE"""),45684.0)</f>
        <v>45684</v>
      </c>
      <c r="D378" s="3">
        <f>IFERROR(__xludf.DUMMYFUNCTION("""COMPUTED_VALUE"""),62.0)</f>
        <v>62</v>
      </c>
      <c r="E378" s="3">
        <f>IFERROR(__xludf.DUMMYFUNCTION("""COMPUTED_VALUE"""),64294.0)</f>
        <v>64294</v>
      </c>
      <c r="F378" s="3" t="str">
        <f>IFERROR(__xludf.DUMMYFUNCTION("""COMPUTED_VALUE"""),"EUR")</f>
        <v>EUR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 t="str">
        <f>IFERROR(__xludf.DUMMYFUNCTION("""COMPUTED_VALUE"""),"854ff8a4-34aa-4ec0-9672-7bb66e1bb909")</f>
        <v>854ff8a4-34aa-4ec0-9672-7bb66e1bb909</v>
      </c>
      <c r="B379" s="3" t="str">
        <f>IFERROR(__xludf.DUMMYFUNCTION("""COMPUTED_VALUE"""),"Nantes")</f>
        <v>Nantes</v>
      </c>
      <c r="C379" s="4">
        <f>IFERROR(__xludf.DUMMYFUNCTION("""COMPUTED_VALUE"""),45684.0)</f>
        <v>45684</v>
      </c>
      <c r="D379" s="3">
        <f>IFERROR(__xludf.DUMMYFUNCTION("""COMPUTED_VALUE"""),54.0)</f>
        <v>54</v>
      </c>
      <c r="E379" s="3">
        <f>IFERROR(__xludf.DUMMYFUNCTION("""COMPUTED_VALUE"""),44226.0)</f>
        <v>44226</v>
      </c>
      <c r="F379" s="3" t="str">
        <f>IFERROR(__xludf.DUMMYFUNCTION("""COMPUTED_VALUE"""),"EUR")</f>
        <v>EUR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 t="str">
        <f>IFERROR(__xludf.DUMMYFUNCTION("""COMPUTED_VALUE"""),"906a2dd5-fb83-4a78-a7f0-f4c1f9e21562")</f>
        <v>906a2dd5-fb83-4a78-a7f0-f4c1f9e21562</v>
      </c>
      <c r="B380" s="3" t="str">
        <f>IFERROR(__xludf.DUMMYFUNCTION("""COMPUTED_VALUE"""),"Nantes")</f>
        <v>Nantes</v>
      </c>
      <c r="C380" s="4">
        <f>IFERROR(__xludf.DUMMYFUNCTION("""COMPUTED_VALUE"""),45684.0)</f>
        <v>45684</v>
      </c>
      <c r="D380" s="3">
        <f>IFERROR(__xludf.DUMMYFUNCTION("""COMPUTED_VALUE"""),64.0)</f>
        <v>64</v>
      </c>
      <c r="E380" s="3">
        <f>IFERROR(__xludf.DUMMYFUNCTION("""COMPUTED_VALUE"""),66432.0)</f>
        <v>66432</v>
      </c>
      <c r="F380" s="3" t="str">
        <f>IFERROR(__xludf.DUMMYFUNCTION("""COMPUTED_VALUE"""),"EUR")</f>
        <v>EUR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 t="str">
        <f>IFERROR(__xludf.DUMMYFUNCTION("""COMPUTED_VALUE"""),"91d19ba3-f6de-486a-8df4-ee613db8a610")</f>
        <v>91d19ba3-f6de-486a-8df4-ee613db8a610</v>
      </c>
      <c r="B381" s="3" t="str">
        <f>IFERROR(__xludf.DUMMYFUNCTION("""COMPUTED_VALUE"""),"Paris")</f>
        <v>Paris</v>
      </c>
      <c r="C381" s="4">
        <f>IFERROR(__xludf.DUMMYFUNCTION("""COMPUTED_VALUE"""),45684.0)</f>
        <v>45684</v>
      </c>
      <c r="D381" s="3">
        <f>IFERROR(__xludf.DUMMYFUNCTION("""COMPUTED_VALUE"""),63.0)</f>
        <v>63</v>
      </c>
      <c r="E381" s="3">
        <f>IFERROR(__xludf.DUMMYFUNCTION("""COMPUTED_VALUE"""),56889.0)</f>
        <v>56889</v>
      </c>
      <c r="F381" s="3" t="str">
        <f>IFERROR(__xludf.DUMMYFUNCTION("""COMPUTED_VALUE"""),"EUR")</f>
        <v>EUR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 t="str">
        <f>IFERROR(__xludf.DUMMYFUNCTION("""COMPUTED_VALUE"""),"b03a1108-f265-4296-beb7-575c2e082763")</f>
        <v>b03a1108-f265-4296-beb7-575c2e082763</v>
      </c>
      <c r="B382" s="3" t="str">
        <f>IFERROR(__xludf.DUMMYFUNCTION("""COMPUTED_VALUE"""),"Paris")</f>
        <v>Paris</v>
      </c>
      <c r="C382" s="4">
        <f>IFERROR(__xludf.DUMMYFUNCTION("""COMPUTED_VALUE"""),45684.0)</f>
        <v>45684</v>
      </c>
      <c r="D382" s="3">
        <f>IFERROR(__xludf.DUMMYFUNCTION("""COMPUTED_VALUE"""),52.0)</f>
        <v>52</v>
      </c>
      <c r="E382" s="3">
        <f>IFERROR(__xludf.DUMMYFUNCTION("""COMPUTED_VALUE"""),46072.0)</f>
        <v>46072</v>
      </c>
      <c r="F382" s="3" t="str">
        <f>IFERROR(__xludf.DUMMYFUNCTION("""COMPUTED_VALUE"""),"EUR")</f>
        <v>EUR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 t="str">
        <f>IFERROR(__xludf.DUMMYFUNCTION("""COMPUTED_VALUE"""),"765c842c-328c-4f43-b1f4-589a69edee7d")</f>
        <v>765c842c-328c-4f43-b1f4-589a69edee7d</v>
      </c>
      <c r="B383" s="3" t="str">
        <f>IFERROR(__xludf.DUMMYFUNCTION("""COMPUTED_VALUE"""),"Bordeaux")</f>
        <v>Bordeaux</v>
      </c>
      <c r="C383" s="4">
        <f>IFERROR(__xludf.DUMMYFUNCTION("""COMPUTED_VALUE"""),45684.0)</f>
        <v>45684</v>
      </c>
      <c r="D383" s="3">
        <f>IFERROR(__xludf.DUMMYFUNCTION("""COMPUTED_VALUE"""),60.0)</f>
        <v>60</v>
      </c>
      <c r="E383" s="3">
        <f>IFERROR(__xludf.DUMMYFUNCTION("""COMPUTED_VALUE"""),50400.0)</f>
        <v>50400</v>
      </c>
      <c r="F383" s="3" t="str">
        <f>IFERROR(__xludf.DUMMYFUNCTION("""COMPUTED_VALUE"""),"EUR")</f>
        <v>EUR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 t="str">
        <f>IFERROR(__xludf.DUMMYFUNCTION("""COMPUTED_VALUE"""),"f35328c9-1081-47cd-b50f-e16acd3c85b5")</f>
        <v>f35328c9-1081-47cd-b50f-e16acd3c85b5</v>
      </c>
      <c r="B384" s="3" t="str">
        <f>IFERROR(__xludf.DUMMYFUNCTION("""COMPUTED_VALUE"""),"Lille")</f>
        <v>Lille</v>
      </c>
      <c r="C384" s="4">
        <f>IFERROR(__xludf.DUMMYFUNCTION("""COMPUTED_VALUE"""),45684.0)</f>
        <v>45684</v>
      </c>
      <c r="D384" s="3">
        <f>IFERROR(__xludf.DUMMYFUNCTION("""COMPUTED_VALUE"""),70.0)</f>
        <v>70</v>
      </c>
      <c r="E384" s="3">
        <f>IFERROR(__xludf.DUMMYFUNCTION("""COMPUTED_VALUE"""),64260.0)</f>
        <v>64260</v>
      </c>
      <c r="F384" s="3" t="str">
        <f>IFERROR(__xludf.DUMMYFUNCTION("""COMPUTED_VALUE"""),"EUR")</f>
        <v>EUR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 t="str">
        <f>IFERROR(__xludf.DUMMYFUNCTION("""COMPUTED_VALUE"""),"08ec59cc-81bd-4ef4-8a12-9f2408ed882f")</f>
        <v>08ec59cc-81bd-4ef4-8a12-9f2408ed882f</v>
      </c>
      <c r="B385" s="3" t="str">
        <f>IFERROR(__xludf.DUMMYFUNCTION("""COMPUTED_VALUE"""),"Nantes")</f>
        <v>Nantes</v>
      </c>
      <c r="C385" s="4">
        <f>IFERROR(__xludf.DUMMYFUNCTION("""COMPUTED_VALUE"""),45684.0)</f>
        <v>45684</v>
      </c>
      <c r="D385" s="3">
        <f>IFERROR(__xludf.DUMMYFUNCTION("""COMPUTED_VALUE"""),52.0)</f>
        <v>52</v>
      </c>
      <c r="E385" s="3">
        <f>IFERROR(__xludf.DUMMYFUNCTION("""COMPUTED_VALUE"""),39208.0)</f>
        <v>39208</v>
      </c>
      <c r="F385" s="3" t="str">
        <f>IFERROR(__xludf.DUMMYFUNCTION("""COMPUTED_VALUE"""),"EUR")</f>
        <v>EUR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 t="str">
        <f>IFERROR(__xludf.DUMMYFUNCTION("""COMPUTED_VALUE"""),"3533d78c-df19-496a-bfcc-75a523b0ce3e")</f>
        <v>3533d78c-df19-496a-bfcc-75a523b0ce3e</v>
      </c>
      <c r="B386" s="3" t="str">
        <f>IFERROR(__xludf.DUMMYFUNCTION("""COMPUTED_VALUE"""),"Toulouse")</f>
        <v>Toulouse</v>
      </c>
      <c r="C386" s="4">
        <f>IFERROR(__xludf.DUMMYFUNCTION("""COMPUTED_VALUE"""),45684.0)</f>
        <v>45684</v>
      </c>
      <c r="D386" s="3">
        <f>IFERROR(__xludf.DUMMYFUNCTION("""COMPUTED_VALUE"""),62.0)</f>
        <v>62</v>
      </c>
      <c r="E386" s="3">
        <f>IFERROR(__xludf.DUMMYFUNCTION("""COMPUTED_VALUE"""),57536.0)</f>
        <v>57536</v>
      </c>
      <c r="F386" s="3" t="str">
        <f>IFERROR(__xludf.DUMMYFUNCTION("""COMPUTED_VALUE"""),"EUR")</f>
        <v>EUR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 t="str">
        <f>IFERROR(__xludf.DUMMYFUNCTION("""COMPUTED_VALUE"""),"260dbda5-14ea-40a9-a62f-2d87431d6f29")</f>
        <v>260dbda5-14ea-40a9-a62f-2d87431d6f29</v>
      </c>
      <c r="B387" s="3" t="str">
        <f>IFERROR(__xludf.DUMMYFUNCTION("""COMPUTED_VALUE"""),"Paris")</f>
        <v>Paris</v>
      </c>
      <c r="C387" s="4">
        <f>IFERROR(__xludf.DUMMYFUNCTION("""COMPUTED_VALUE"""),45684.0)</f>
        <v>45684</v>
      </c>
      <c r="D387" s="3">
        <f>IFERROR(__xludf.DUMMYFUNCTION("""COMPUTED_VALUE"""),62.0)</f>
        <v>62</v>
      </c>
      <c r="E387" s="3">
        <f>IFERROR(__xludf.DUMMYFUNCTION("""COMPUTED_VALUE"""),56978.0)</f>
        <v>56978</v>
      </c>
      <c r="F387" s="3" t="str">
        <f>IFERROR(__xludf.DUMMYFUNCTION("""COMPUTED_VALUE"""),"EUR")</f>
        <v>EUR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 t="str">
        <f>IFERROR(__xludf.DUMMYFUNCTION("""COMPUTED_VALUE"""),"f86b7e5c-a327-48c2-aa80-c994d14d6e93")</f>
        <v>f86b7e5c-a327-48c2-aa80-c994d14d6e93</v>
      </c>
      <c r="B388" s="3" t="str">
        <f>IFERROR(__xludf.DUMMYFUNCTION("""COMPUTED_VALUE"""),"Bordeaux")</f>
        <v>Bordeaux</v>
      </c>
      <c r="C388" s="4">
        <f>IFERROR(__xludf.DUMMYFUNCTION("""COMPUTED_VALUE"""),45684.0)</f>
        <v>45684</v>
      </c>
      <c r="D388" s="3">
        <f>IFERROR(__xludf.DUMMYFUNCTION("""COMPUTED_VALUE"""),51.0)</f>
        <v>51</v>
      </c>
      <c r="E388" s="3">
        <f>IFERROR(__xludf.DUMMYFUNCTION("""COMPUTED_VALUE"""),38709.0)</f>
        <v>38709</v>
      </c>
      <c r="F388" s="3" t="str">
        <f>IFERROR(__xludf.DUMMYFUNCTION("""COMPUTED_VALUE"""),"EUR")</f>
        <v>EUR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 t="str">
        <f>IFERROR(__xludf.DUMMYFUNCTION("""COMPUTED_VALUE"""),"92656823-acf1-48a0-b9da-7d7ea8797a82")</f>
        <v>92656823-acf1-48a0-b9da-7d7ea8797a82</v>
      </c>
      <c r="B389" s="3" t="str">
        <f>IFERROR(__xludf.DUMMYFUNCTION("""COMPUTED_VALUE"""),"Lille")</f>
        <v>Lille</v>
      </c>
      <c r="C389" s="4">
        <f>IFERROR(__xludf.DUMMYFUNCTION("""COMPUTED_VALUE"""),45684.0)</f>
        <v>45684</v>
      </c>
      <c r="D389" s="3">
        <f>IFERROR(__xludf.DUMMYFUNCTION("""COMPUTED_VALUE"""),51.0)</f>
        <v>51</v>
      </c>
      <c r="E389" s="3">
        <f>IFERROR(__xludf.DUMMYFUNCTION("""COMPUTED_VALUE"""),37842.0)</f>
        <v>37842</v>
      </c>
      <c r="F389" s="3" t="str">
        <f>IFERROR(__xludf.DUMMYFUNCTION("""COMPUTED_VALUE"""),"EUR")</f>
        <v>EUR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 t="str">
        <f>IFERROR(__xludf.DUMMYFUNCTION("""COMPUTED_VALUE"""),"79a4c14d-c350-464f-9f18-ee9e0aacf663")</f>
        <v>79a4c14d-c350-464f-9f18-ee9e0aacf663</v>
      </c>
      <c r="B390" s="3" t="str">
        <f>IFERROR(__xludf.DUMMYFUNCTION("""COMPUTED_VALUE"""),"Zaragoza")</f>
        <v>Zaragoza</v>
      </c>
      <c r="C390" s="4">
        <f>IFERROR(__xludf.DUMMYFUNCTION("""COMPUTED_VALUE"""),45663.0)</f>
        <v>45663</v>
      </c>
      <c r="D390" s="3">
        <f>IFERROR(__xludf.DUMMYFUNCTION("""COMPUTED_VALUE"""),67.0)</f>
        <v>67</v>
      </c>
      <c r="E390" s="3">
        <f>IFERROR(__xludf.DUMMYFUNCTION("""COMPUTED_VALUE"""),69412.0)</f>
        <v>69412</v>
      </c>
      <c r="F390" s="3" t="str">
        <f>IFERROR(__xludf.DUMMYFUNCTION("""COMPUTED_VALUE"""),"EUR")</f>
        <v>EUR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 t="str">
        <f>IFERROR(__xludf.DUMMYFUNCTION("""COMPUTED_VALUE"""),"f9dd35e9-3836-445c-ae43-dcba03f19752")</f>
        <v>f9dd35e9-3836-445c-ae43-dcba03f19752</v>
      </c>
      <c r="B391" s="3" t="str">
        <f>IFERROR(__xludf.DUMMYFUNCTION("""COMPUTED_VALUE"""),"Zaragoza")</f>
        <v>Zaragoza</v>
      </c>
      <c r="C391" s="4">
        <f>IFERROR(__xludf.DUMMYFUNCTION("""COMPUTED_VALUE"""),45663.0)</f>
        <v>45663</v>
      </c>
      <c r="D391" s="3">
        <f>IFERROR(__xludf.DUMMYFUNCTION("""COMPUTED_VALUE"""),65.0)</f>
        <v>65</v>
      </c>
      <c r="E391" s="3">
        <f>IFERROR(__xludf.DUMMYFUNCTION("""COMPUTED_VALUE"""),66040.0)</f>
        <v>66040</v>
      </c>
      <c r="F391" s="3" t="str">
        <f>IFERROR(__xludf.DUMMYFUNCTION("""COMPUTED_VALUE"""),"EUR")</f>
        <v>EUR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 t="str">
        <f>IFERROR(__xludf.DUMMYFUNCTION("""COMPUTED_VALUE"""),"a4e911d2-3629-4955-8bfc-52540f7085a7")</f>
        <v>a4e911d2-3629-4955-8bfc-52540f7085a7</v>
      </c>
      <c r="B392" s="3" t="str">
        <f>IFERROR(__xludf.DUMMYFUNCTION("""COMPUTED_VALUE"""),"Zaragoza")</f>
        <v>Zaragoza</v>
      </c>
      <c r="C392" s="4">
        <f>IFERROR(__xludf.DUMMYFUNCTION("""COMPUTED_VALUE"""),45663.0)</f>
        <v>45663</v>
      </c>
      <c r="D392" s="3">
        <f>IFERROR(__xludf.DUMMYFUNCTION("""COMPUTED_VALUE"""),56.0)</f>
        <v>56</v>
      </c>
      <c r="E392" s="3">
        <f>IFERROR(__xludf.DUMMYFUNCTION("""COMPUTED_VALUE"""),50120.0)</f>
        <v>50120</v>
      </c>
      <c r="F392" s="3" t="str">
        <f>IFERROR(__xludf.DUMMYFUNCTION("""COMPUTED_VALUE"""),"EUR")</f>
        <v>EUR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 t="str">
        <f>IFERROR(__xludf.DUMMYFUNCTION("""COMPUTED_VALUE"""),"24838163-3996-4459-92db-9f0fc24919f8")</f>
        <v>24838163-3996-4459-92db-9f0fc24919f8</v>
      </c>
      <c r="B393" s="3" t="str">
        <f>IFERROR(__xludf.DUMMYFUNCTION("""COMPUTED_VALUE"""),"Valencia")</f>
        <v>Valencia</v>
      </c>
      <c r="C393" s="4">
        <f>IFERROR(__xludf.DUMMYFUNCTION("""COMPUTED_VALUE"""),45663.0)</f>
        <v>45663</v>
      </c>
      <c r="D393" s="3">
        <f>IFERROR(__xludf.DUMMYFUNCTION("""COMPUTED_VALUE"""),66.0)</f>
        <v>66</v>
      </c>
      <c r="E393" s="3">
        <f>IFERROR(__xludf.DUMMYFUNCTION("""COMPUTED_VALUE"""),59862.0)</f>
        <v>59862</v>
      </c>
      <c r="F393" s="3" t="str">
        <f>IFERROR(__xludf.DUMMYFUNCTION("""COMPUTED_VALUE"""),"EUR")</f>
        <v>EUR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 t="str">
        <f>IFERROR(__xludf.DUMMYFUNCTION("""COMPUTED_VALUE"""),"ab891a29-1aa7-419d-898b-0a4531cd071a")</f>
        <v>ab891a29-1aa7-419d-898b-0a4531cd071a</v>
      </c>
      <c r="B394" s="3" t="str">
        <f>IFERROR(__xludf.DUMMYFUNCTION("""COMPUTED_VALUE"""),"Madrid")</f>
        <v>Madrid</v>
      </c>
      <c r="C394" s="4">
        <f>IFERROR(__xludf.DUMMYFUNCTION("""COMPUTED_VALUE"""),45663.0)</f>
        <v>45663</v>
      </c>
      <c r="D394" s="3">
        <f>IFERROR(__xludf.DUMMYFUNCTION("""COMPUTED_VALUE"""),60.0)</f>
        <v>60</v>
      </c>
      <c r="E394" s="3">
        <f>IFERROR(__xludf.DUMMYFUNCTION("""COMPUTED_VALUE"""),44460.0)</f>
        <v>44460</v>
      </c>
      <c r="F394" s="3" t="str">
        <f>IFERROR(__xludf.DUMMYFUNCTION("""COMPUTED_VALUE"""),"EUR")</f>
        <v>EUR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 t="str">
        <f>IFERROR(__xludf.DUMMYFUNCTION("""COMPUTED_VALUE"""),"18e53e7e-277e-4fca-ad96-7461927a58e0")</f>
        <v>18e53e7e-277e-4fca-ad96-7461927a58e0</v>
      </c>
      <c r="B395" s="3" t="str">
        <f>IFERROR(__xludf.DUMMYFUNCTION("""COMPUTED_VALUE"""),"Alicante")</f>
        <v>Alicante</v>
      </c>
      <c r="C395" s="4">
        <f>IFERROR(__xludf.DUMMYFUNCTION("""COMPUTED_VALUE"""),45663.0)</f>
        <v>45663</v>
      </c>
      <c r="D395" s="3">
        <f>IFERROR(__xludf.DUMMYFUNCTION("""COMPUTED_VALUE"""),61.0)</f>
        <v>61</v>
      </c>
      <c r="E395" s="3">
        <f>IFERROR(__xludf.DUMMYFUNCTION("""COMPUTED_VALUE"""),61488.0)</f>
        <v>61488</v>
      </c>
      <c r="F395" s="3" t="str">
        <f>IFERROR(__xludf.DUMMYFUNCTION("""COMPUTED_VALUE"""),"EUR")</f>
        <v>EUR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 t="str">
        <f>IFERROR(__xludf.DUMMYFUNCTION("""COMPUTED_VALUE"""),"7ae299a0-47b9-431e-9d07-df2029dee59d")</f>
        <v>7ae299a0-47b9-431e-9d07-df2029dee59d</v>
      </c>
      <c r="B396" s="3" t="str">
        <f>IFERROR(__xludf.DUMMYFUNCTION("""COMPUTED_VALUE"""),"Barcelona")</f>
        <v>Barcelona</v>
      </c>
      <c r="C396" s="4">
        <f>IFERROR(__xludf.DUMMYFUNCTION("""COMPUTED_VALUE"""),45663.0)</f>
        <v>45663</v>
      </c>
      <c r="D396" s="3">
        <f>IFERROR(__xludf.DUMMYFUNCTION("""COMPUTED_VALUE"""),51.0)</f>
        <v>51</v>
      </c>
      <c r="E396" s="3">
        <f>IFERROR(__xludf.DUMMYFUNCTION("""COMPUTED_VALUE"""),42381.0)</f>
        <v>42381</v>
      </c>
      <c r="F396" s="3" t="str">
        <f>IFERROR(__xludf.DUMMYFUNCTION("""COMPUTED_VALUE"""),"EUR")</f>
        <v>EUR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 t="str">
        <f>IFERROR(__xludf.DUMMYFUNCTION("""COMPUTED_VALUE"""),"bf3267d7-716f-4152-894b-923357d6bca8")</f>
        <v>bf3267d7-716f-4152-894b-923357d6bca8</v>
      </c>
      <c r="B397" s="3" t="str">
        <f>IFERROR(__xludf.DUMMYFUNCTION("""COMPUTED_VALUE"""),"Valencia")</f>
        <v>Valencia</v>
      </c>
      <c r="C397" s="4">
        <f>IFERROR(__xludf.DUMMYFUNCTION("""COMPUTED_VALUE"""),45663.0)</f>
        <v>45663</v>
      </c>
      <c r="D397" s="3">
        <f>IFERROR(__xludf.DUMMYFUNCTION("""COMPUTED_VALUE"""),68.0)</f>
        <v>68</v>
      </c>
      <c r="E397" s="3">
        <f>IFERROR(__xludf.DUMMYFUNCTION("""COMPUTED_VALUE"""),67796.0)</f>
        <v>67796</v>
      </c>
      <c r="F397" s="3" t="str">
        <f>IFERROR(__xludf.DUMMYFUNCTION("""COMPUTED_VALUE"""),"EUR")</f>
        <v>EUR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 t="str">
        <f>IFERROR(__xludf.DUMMYFUNCTION("""COMPUTED_VALUE"""),"618db574-ae17-4e35-b8ed-e9b4436ba01c")</f>
        <v>618db574-ae17-4e35-b8ed-e9b4436ba01c</v>
      </c>
      <c r="B398" s="3" t="str">
        <f>IFERROR(__xludf.DUMMYFUNCTION("""COMPUTED_VALUE"""),"Barcelona")</f>
        <v>Barcelona</v>
      </c>
      <c r="C398" s="4">
        <f>IFERROR(__xludf.DUMMYFUNCTION("""COMPUTED_VALUE"""),45663.0)</f>
        <v>45663</v>
      </c>
      <c r="D398" s="3">
        <f>IFERROR(__xludf.DUMMYFUNCTION("""COMPUTED_VALUE"""),55.0)</f>
        <v>55</v>
      </c>
      <c r="E398" s="3">
        <f>IFERROR(__xludf.DUMMYFUNCTION("""COMPUTED_VALUE"""),40755.0)</f>
        <v>40755</v>
      </c>
      <c r="F398" s="3" t="str">
        <f>IFERROR(__xludf.DUMMYFUNCTION("""COMPUTED_VALUE"""),"EUR")</f>
        <v>EUR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 t="str">
        <f>IFERROR(__xludf.DUMMYFUNCTION("""COMPUTED_VALUE"""),"2c9457d3-85d4-4eaa-9636-fcecd2c9920b")</f>
        <v>2c9457d3-85d4-4eaa-9636-fcecd2c9920b</v>
      </c>
      <c r="B399" s="3" t="str">
        <f>IFERROR(__xludf.DUMMYFUNCTION("""COMPUTED_VALUE"""),"Alicante")</f>
        <v>Alicante</v>
      </c>
      <c r="C399" s="4">
        <f>IFERROR(__xludf.DUMMYFUNCTION("""COMPUTED_VALUE"""),45663.0)</f>
        <v>45663</v>
      </c>
      <c r="D399" s="3">
        <f>IFERROR(__xludf.DUMMYFUNCTION("""COMPUTED_VALUE"""),51.0)</f>
        <v>51</v>
      </c>
      <c r="E399" s="3">
        <f>IFERROR(__xludf.DUMMYFUNCTION("""COMPUTED_VALUE"""),42330.0)</f>
        <v>42330</v>
      </c>
      <c r="F399" s="3" t="str">
        <f>IFERROR(__xludf.DUMMYFUNCTION("""COMPUTED_VALUE"""),"EUR")</f>
        <v>EUR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 t="str">
        <f>IFERROR(__xludf.DUMMYFUNCTION("""COMPUTED_VALUE"""),"c7acb219-5a1c-42ff-a32c-b6769f2505bd")</f>
        <v>c7acb219-5a1c-42ff-a32c-b6769f2505bd</v>
      </c>
      <c r="B400" s="3" t="str">
        <f>IFERROR(__xludf.DUMMYFUNCTION("""COMPUTED_VALUE"""),"Barcelona")</f>
        <v>Barcelona</v>
      </c>
      <c r="C400" s="4">
        <f>IFERROR(__xludf.DUMMYFUNCTION("""COMPUTED_VALUE"""),45663.0)</f>
        <v>45663</v>
      </c>
      <c r="D400" s="3">
        <f>IFERROR(__xludf.DUMMYFUNCTION("""COMPUTED_VALUE"""),56.0)</f>
        <v>56</v>
      </c>
      <c r="E400" s="3">
        <f>IFERROR(__xludf.DUMMYFUNCTION("""COMPUTED_VALUE"""),43512.0)</f>
        <v>43512</v>
      </c>
      <c r="F400" s="3" t="str">
        <f>IFERROR(__xludf.DUMMYFUNCTION("""COMPUTED_VALUE"""),"EUR")</f>
        <v>EUR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 t="str">
        <f>IFERROR(__xludf.DUMMYFUNCTION("""COMPUTED_VALUE"""),"a8745a0d-6dc8-4ea8-b668-e2c50b474ea4")</f>
        <v>a8745a0d-6dc8-4ea8-b668-e2c50b474ea4</v>
      </c>
      <c r="B401" s="3" t="str">
        <f>IFERROR(__xludf.DUMMYFUNCTION("""COMPUTED_VALUE"""),"Alicante")</f>
        <v>Alicante</v>
      </c>
      <c r="C401" s="4">
        <f>IFERROR(__xludf.DUMMYFUNCTION("""COMPUTED_VALUE"""),45663.0)</f>
        <v>45663</v>
      </c>
      <c r="D401" s="3">
        <f>IFERROR(__xludf.DUMMYFUNCTION("""COMPUTED_VALUE"""),63.0)</f>
        <v>63</v>
      </c>
      <c r="E401" s="3">
        <f>IFERROR(__xludf.DUMMYFUNCTION("""COMPUTED_VALUE"""),61173.0)</f>
        <v>61173</v>
      </c>
      <c r="F401" s="3" t="str">
        <f>IFERROR(__xludf.DUMMYFUNCTION("""COMPUTED_VALUE"""),"EUR")</f>
        <v>EUR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 t="str">
        <f>IFERROR(__xludf.DUMMYFUNCTION("""COMPUTED_VALUE"""),"2a43dd5f-493d-4ce3-b5a9-5d4f5ae7f049")</f>
        <v>2a43dd5f-493d-4ce3-b5a9-5d4f5ae7f049</v>
      </c>
      <c r="B402" s="3" t="str">
        <f>IFERROR(__xludf.DUMMYFUNCTION("""COMPUTED_VALUE"""),"Barcelona")</f>
        <v>Barcelona</v>
      </c>
      <c r="C402" s="4">
        <f>IFERROR(__xludf.DUMMYFUNCTION("""COMPUTED_VALUE"""),45663.0)</f>
        <v>45663</v>
      </c>
      <c r="D402" s="3">
        <f>IFERROR(__xludf.DUMMYFUNCTION("""COMPUTED_VALUE"""),59.0)</f>
        <v>59</v>
      </c>
      <c r="E402" s="3">
        <f>IFERROR(__xludf.DUMMYFUNCTION("""COMPUTED_VALUE"""),51094.0)</f>
        <v>51094</v>
      </c>
      <c r="F402" s="3" t="str">
        <f>IFERROR(__xludf.DUMMYFUNCTION("""COMPUTED_VALUE"""),"EUR")</f>
        <v>EUR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 t="str">
        <f>IFERROR(__xludf.DUMMYFUNCTION("""COMPUTED_VALUE"""),"70aaa1d5-4af4-418a-a630-dd72cfc0730a")</f>
        <v>70aaa1d5-4af4-418a-a630-dd72cfc0730a</v>
      </c>
      <c r="B403" s="3" t="str">
        <f>IFERROR(__xludf.DUMMYFUNCTION("""COMPUTED_VALUE"""),"Valencia")</f>
        <v>Valencia</v>
      </c>
      <c r="C403" s="4">
        <f>IFERROR(__xludf.DUMMYFUNCTION("""COMPUTED_VALUE"""),45663.0)</f>
        <v>45663</v>
      </c>
      <c r="D403" s="3">
        <f>IFERROR(__xludf.DUMMYFUNCTION("""COMPUTED_VALUE"""),67.0)</f>
        <v>67</v>
      </c>
      <c r="E403" s="3">
        <f>IFERROR(__xludf.DUMMYFUNCTION("""COMPUTED_VALUE"""),63918.0)</f>
        <v>63918</v>
      </c>
      <c r="F403" s="3" t="str">
        <f>IFERROR(__xludf.DUMMYFUNCTION("""COMPUTED_VALUE"""),"EUR")</f>
        <v>EUR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 t="str">
        <f>IFERROR(__xludf.DUMMYFUNCTION("""COMPUTED_VALUE"""),"d2077931-9dfd-4e80-9fe2-f024edc041e8")</f>
        <v>d2077931-9dfd-4e80-9fe2-f024edc041e8</v>
      </c>
      <c r="B404" s="3" t="str">
        <f>IFERROR(__xludf.DUMMYFUNCTION("""COMPUTED_VALUE"""),"Alicante")</f>
        <v>Alicante</v>
      </c>
      <c r="C404" s="4">
        <f>IFERROR(__xludf.DUMMYFUNCTION("""COMPUTED_VALUE"""),45663.0)</f>
        <v>45663</v>
      </c>
      <c r="D404" s="3">
        <f>IFERROR(__xludf.DUMMYFUNCTION("""COMPUTED_VALUE"""),51.0)</f>
        <v>51</v>
      </c>
      <c r="E404" s="3">
        <f>IFERROR(__xludf.DUMMYFUNCTION("""COMPUTED_VALUE"""),40953.0)</f>
        <v>40953</v>
      </c>
      <c r="F404" s="3" t="str">
        <f>IFERROR(__xludf.DUMMYFUNCTION("""COMPUTED_VALUE"""),"EUR")</f>
        <v>EUR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 t="str">
        <f>IFERROR(__xludf.DUMMYFUNCTION("""COMPUTED_VALUE"""),"5481e7d1-64c0-41ae-97ec-cf703b223a0c")</f>
        <v>5481e7d1-64c0-41ae-97ec-cf703b223a0c</v>
      </c>
      <c r="B405" s="3" t="str">
        <f>IFERROR(__xludf.DUMMYFUNCTION("""COMPUTED_VALUE"""),"Alicante")</f>
        <v>Alicante</v>
      </c>
      <c r="C405" s="4">
        <f>IFERROR(__xludf.DUMMYFUNCTION("""COMPUTED_VALUE"""),45663.0)</f>
        <v>45663</v>
      </c>
      <c r="D405" s="3">
        <f>IFERROR(__xludf.DUMMYFUNCTION("""COMPUTED_VALUE"""),64.0)</f>
        <v>64</v>
      </c>
      <c r="E405" s="3">
        <f>IFERROR(__xludf.DUMMYFUNCTION("""COMPUTED_VALUE"""),65536.0)</f>
        <v>65536</v>
      </c>
      <c r="F405" s="3" t="str">
        <f>IFERROR(__xludf.DUMMYFUNCTION("""COMPUTED_VALUE"""),"EUR")</f>
        <v>EUR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 t="str">
        <f>IFERROR(__xludf.DUMMYFUNCTION("""COMPUTED_VALUE"""),"82f96ede-f7f7-4530-8bcb-d479a0fbf451")</f>
        <v>82f96ede-f7f7-4530-8bcb-d479a0fbf451</v>
      </c>
      <c r="B406" s="3" t="str">
        <f>IFERROR(__xludf.DUMMYFUNCTION("""COMPUTED_VALUE"""),"Madrid")</f>
        <v>Madrid</v>
      </c>
      <c r="C406" s="4">
        <f>IFERROR(__xludf.DUMMYFUNCTION("""COMPUTED_VALUE"""),45663.0)</f>
        <v>45663</v>
      </c>
      <c r="D406" s="3">
        <f>IFERROR(__xludf.DUMMYFUNCTION("""COMPUTED_VALUE"""),70.0)</f>
        <v>70</v>
      </c>
      <c r="E406" s="3">
        <f>IFERROR(__xludf.DUMMYFUNCTION("""COMPUTED_VALUE"""),76510.0)</f>
        <v>76510</v>
      </c>
      <c r="F406" s="3" t="str">
        <f>IFERROR(__xludf.DUMMYFUNCTION("""COMPUTED_VALUE"""),"EUR")</f>
        <v>EUR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 t="str">
        <f>IFERROR(__xludf.DUMMYFUNCTION("""COMPUTED_VALUE"""),"f0ca0739-bd0f-4f63-92b8-e6d31817728c")</f>
        <v>f0ca0739-bd0f-4f63-92b8-e6d31817728c</v>
      </c>
      <c r="B407" s="3" t="str">
        <f>IFERROR(__xludf.DUMMYFUNCTION("""COMPUTED_VALUE"""),"Palma")</f>
        <v>Palma</v>
      </c>
      <c r="C407" s="4">
        <f>IFERROR(__xludf.DUMMYFUNCTION("""COMPUTED_VALUE"""),45663.0)</f>
        <v>45663</v>
      </c>
      <c r="D407" s="3">
        <f>IFERROR(__xludf.DUMMYFUNCTION("""COMPUTED_VALUE"""),65.0)</f>
        <v>65</v>
      </c>
      <c r="E407" s="3">
        <f>IFERROR(__xludf.DUMMYFUNCTION("""COMPUTED_VALUE"""),65390.0)</f>
        <v>65390</v>
      </c>
      <c r="F407" s="3" t="str">
        <f>IFERROR(__xludf.DUMMYFUNCTION("""COMPUTED_VALUE"""),"EUR")</f>
        <v>EUR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 t="str">
        <f>IFERROR(__xludf.DUMMYFUNCTION("""COMPUTED_VALUE"""),"dfbfac93-e2dd-41a9-9f8e-82b3388cff68")</f>
        <v>dfbfac93-e2dd-41a9-9f8e-82b3388cff68</v>
      </c>
      <c r="B408" s="3" t="str">
        <f>IFERROR(__xludf.DUMMYFUNCTION("""COMPUTED_VALUE"""),"Valencia")</f>
        <v>Valencia</v>
      </c>
      <c r="C408" s="4">
        <f>IFERROR(__xludf.DUMMYFUNCTION("""COMPUTED_VALUE"""),45663.0)</f>
        <v>45663</v>
      </c>
      <c r="D408" s="3">
        <f>IFERROR(__xludf.DUMMYFUNCTION("""COMPUTED_VALUE"""),53.0)</f>
        <v>53</v>
      </c>
      <c r="E408" s="3">
        <f>IFERROR(__xludf.DUMMYFUNCTION("""COMPUTED_VALUE"""),46110.0)</f>
        <v>46110</v>
      </c>
      <c r="F408" s="3" t="str">
        <f>IFERROR(__xludf.DUMMYFUNCTION("""COMPUTED_VALUE"""),"EUR")</f>
        <v>EUR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 t="str">
        <f>IFERROR(__xludf.DUMMYFUNCTION("""COMPUTED_VALUE"""),"a5891e66-f7dd-435c-87b7-74aed3f05510")</f>
        <v>a5891e66-f7dd-435c-87b7-74aed3f05510</v>
      </c>
      <c r="B409" s="3" t="str">
        <f>IFERROR(__xludf.DUMMYFUNCTION("""COMPUTED_VALUE"""),"Alicante")</f>
        <v>Alicante</v>
      </c>
      <c r="C409" s="4">
        <f>IFERROR(__xludf.DUMMYFUNCTION("""COMPUTED_VALUE"""),45663.0)</f>
        <v>45663</v>
      </c>
      <c r="D409" s="3">
        <f>IFERROR(__xludf.DUMMYFUNCTION("""COMPUTED_VALUE"""),66.0)</f>
        <v>66</v>
      </c>
      <c r="E409" s="3">
        <f>IFERROR(__xludf.DUMMYFUNCTION("""COMPUTED_VALUE"""),64218.0)</f>
        <v>64218</v>
      </c>
      <c r="F409" s="3" t="str">
        <f>IFERROR(__xludf.DUMMYFUNCTION("""COMPUTED_VALUE"""),"EUR")</f>
        <v>EUR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 t="str">
        <f>IFERROR(__xludf.DUMMYFUNCTION("""COMPUTED_VALUE"""),"b4173f0b-b79e-4e44-8834-e3183ecf2c2a")</f>
        <v>b4173f0b-b79e-4e44-8834-e3183ecf2c2a</v>
      </c>
      <c r="B410" s="3" t="str">
        <f>IFERROR(__xludf.DUMMYFUNCTION("""COMPUTED_VALUE"""),"Madrid")</f>
        <v>Madrid</v>
      </c>
      <c r="C410" s="4">
        <f>IFERROR(__xludf.DUMMYFUNCTION("""COMPUTED_VALUE"""),45663.0)</f>
        <v>45663</v>
      </c>
      <c r="D410" s="3">
        <f>IFERROR(__xludf.DUMMYFUNCTION("""COMPUTED_VALUE"""),54.0)</f>
        <v>54</v>
      </c>
      <c r="E410" s="3">
        <f>IFERROR(__xludf.DUMMYFUNCTION("""COMPUTED_VALUE"""),48384.0)</f>
        <v>48384</v>
      </c>
      <c r="F410" s="3" t="str">
        <f>IFERROR(__xludf.DUMMYFUNCTION("""COMPUTED_VALUE"""),"EUR")</f>
        <v>EUR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 t="str">
        <f>IFERROR(__xludf.DUMMYFUNCTION("""COMPUTED_VALUE"""),"3e80f727-4d9a-4607-a6ae-a8015eeb25dd")</f>
        <v>3e80f727-4d9a-4607-a6ae-a8015eeb25dd</v>
      </c>
      <c r="B411" s="3" t="str">
        <f>IFERROR(__xludf.DUMMYFUNCTION("""COMPUTED_VALUE"""),"Palma")</f>
        <v>Palma</v>
      </c>
      <c r="C411" s="4">
        <f>IFERROR(__xludf.DUMMYFUNCTION("""COMPUTED_VALUE"""),45663.0)</f>
        <v>45663</v>
      </c>
      <c r="D411" s="3">
        <f>IFERROR(__xludf.DUMMYFUNCTION("""COMPUTED_VALUE"""),59.0)</f>
        <v>59</v>
      </c>
      <c r="E411" s="3">
        <f>IFERROR(__xludf.DUMMYFUNCTION("""COMPUTED_VALUE"""),44663.0)</f>
        <v>44663</v>
      </c>
      <c r="F411" s="3" t="str">
        <f>IFERROR(__xludf.DUMMYFUNCTION("""COMPUTED_VALUE"""),"EUR")</f>
        <v>EUR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 t="str">
        <f>IFERROR(__xludf.DUMMYFUNCTION("""COMPUTED_VALUE"""),"444e12e3-12a6-4884-a6e2-1824931a66b8")</f>
        <v>444e12e3-12a6-4884-a6e2-1824931a66b8</v>
      </c>
      <c r="B412" s="3" t="str">
        <f>IFERROR(__xludf.DUMMYFUNCTION("""COMPUTED_VALUE"""),"Alicante")</f>
        <v>Alicante</v>
      </c>
      <c r="C412" s="4">
        <f>IFERROR(__xludf.DUMMYFUNCTION("""COMPUTED_VALUE"""),45663.0)</f>
        <v>45663</v>
      </c>
      <c r="D412" s="3">
        <f>IFERROR(__xludf.DUMMYFUNCTION("""COMPUTED_VALUE"""),64.0)</f>
        <v>64</v>
      </c>
      <c r="E412" s="3">
        <f>IFERROR(__xludf.DUMMYFUNCTION("""COMPUTED_VALUE"""),62528.0)</f>
        <v>62528</v>
      </c>
      <c r="F412" s="3" t="str">
        <f>IFERROR(__xludf.DUMMYFUNCTION("""COMPUTED_VALUE"""),"EUR")</f>
        <v>EUR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 t="str">
        <f>IFERROR(__xludf.DUMMYFUNCTION("""COMPUTED_VALUE"""),"691b4c51-6081-4485-adb6-0459cdec820c")</f>
        <v>691b4c51-6081-4485-adb6-0459cdec820c</v>
      </c>
      <c r="B413" s="3" t="str">
        <f>IFERROR(__xludf.DUMMYFUNCTION("""COMPUTED_VALUE"""),"Zaragoza")</f>
        <v>Zaragoza</v>
      </c>
      <c r="C413" s="4">
        <f>IFERROR(__xludf.DUMMYFUNCTION("""COMPUTED_VALUE"""),45663.0)</f>
        <v>45663</v>
      </c>
      <c r="D413" s="3">
        <f>IFERROR(__xludf.DUMMYFUNCTION("""COMPUTED_VALUE"""),54.0)</f>
        <v>54</v>
      </c>
      <c r="E413" s="3">
        <f>IFERROR(__xludf.DUMMYFUNCTION("""COMPUTED_VALUE"""),41904.0)</f>
        <v>41904</v>
      </c>
      <c r="F413" s="3" t="str">
        <f>IFERROR(__xludf.DUMMYFUNCTION("""COMPUTED_VALUE"""),"EUR")</f>
        <v>EUR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 t="str">
        <f>IFERROR(__xludf.DUMMYFUNCTION("""COMPUTED_VALUE"""),"d33e89d9-3414-4725-9f72-c52de0b20d55")</f>
        <v>d33e89d9-3414-4725-9f72-c52de0b20d55</v>
      </c>
      <c r="B414" s="3" t="str">
        <f>IFERROR(__xludf.DUMMYFUNCTION("""COMPUTED_VALUE"""),"Zaragoza")</f>
        <v>Zaragoza</v>
      </c>
      <c r="C414" s="4">
        <f>IFERROR(__xludf.DUMMYFUNCTION("""COMPUTED_VALUE"""),45663.0)</f>
        <v>45663</v>
      </c>
      <c r="D414" s="3">
        <f>IFERROR(__xludf.DUMMYFUNCTION("""COMPUTED_VALUE"""),59.0)</f>
        <v>59</v>
      </c>
      <c r="E414" s="3">
        <f>IFERROR(__xludf.DUMMYFUNCTION("""COMPUTED_VALUE"""),46433.0)</f>
        <v>46433</v>
      </c>
      <c r="F414" s="3" t="str">
        <f>IFERROR(__xludf.DUMMYFUNCTION("""COMPUTED_VALUE"""),"EUR")</f>
        <v>EUR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 t="str">
        <f>IFERROR(__xludf.DUMMYFUNCTION("""COMPUTED_VALUE"""),"5281fa79-abc2-43bb-9e68-08bc948c4e7f")</f>
        <v>5281fa79-abc2-43bb-9e68-08bc948c4e7f</v>
      </c>
      <c r="B415" s="3" t="str">
        <f>IFERROR(__xludf.DUMMYFUNCTION("""COMPUTED_VALUE"""),"Barcelona")</f>
        <v>Barcelona</v>
      </c>
      <c r="C415" s="4">
        <f>IFERROR(__xludf.DUMMYFUNCTION("""COMPUTED_VALUE"""),45663.0)</f>
        <v>45663</v>
      </c>
      <c r="D415" s="3">
        <f>IFERROR(__xludf.DUMMYFUNCTION("""COMPUTED_VALUE"""),57.0)</f>
        <v>57</v>
      </c>
      <c r="E415" s="3">
        <f>IFERROR(__xludf.DUMMYFUNCTION("""COMPUTED_VALUE"""),45543.0)</f>
        <v>45543</v>
      </c>
      <c r="F415" s="3" t="str">
        <f>IFERROR(__xludf.DUMMYFUNCTION("""COMPUTED_VALUE"""),"EUR")</f>
        <v>EUR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 t="str">
        <f>IFERROR(__xludf.DUMMYFUNCTION("""COMPUTED_VALUE"""),"cc69f56c-d4f1-4853-862d-627b38446a81")</f>
        <v>cc69f56c-d4f1-4853-862d-627b38446a81</v>
      </c>
      <c r="B416" s="3" t="str">
        <f>IFERROR(__xludf.DUMMYFUNCTION("""COMPUTED_VALUE"""),"Zaragoza")</f>
        <v>Zaragoza</v>
      </c>
      <c r="C416" s="4">
        <f>IFERROR(__xludf.DUMMYFUNCTION("""COMPUTED_VALUE"""),45663.0)</f>
        <v>45663</v>
      </c>
      <c r="D416" s="3">
        <f>IFERROR(__xludf.DUMMYFUNCTION("""COMPUTED_VALUE"""),57.0)</f>
        <v>57</v>
      </c>
      <c r="E416" s="3">
        <f>IFERROR(__xludf.DUMMYFUNCTION("""COMPUTED_VALUE"""),42921.0)</f>
        <v>42921</v>
      </c>
      <c r="F416" s="3" t="str">
        <f>IFERROR(__xludf.DUMMYFUNCTION("""COMPUTED_VALUE"""),"EUR")</f>
        <v>EUR</v>
      </c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 t="str">
        <f>IFERROR(__xludf.DUMMYFUNCTION("""COMPUTED_VALUE"""),"973f7dd9-2eaf-4a30-9dcc-3baf9a6b20f6")</f>
        <v>973f7dd9-2eaf-4a30-9dcc-3baf9a6b20f6</v>
      </c>
      <c r="B417" s="3" t="str">
        <f>IFERROR(__xludf.DUMMYFUNCTION("""COMPUTED_VALUE"""),"Valencia")</f>
        <v>Valencia</v>
      </c>
      <c r="C417" s="4">
        <f>IFERROR(__xludf.DUMMYFUNCTION("""COMPUTED_VALUE"""),45663.0)</f>
        <v>45663</v>
      </c>
      <c r="D417" s="3">
        <f>IFERROR(__xludf.DUMMYFUNCTION("""COMPUTED_VALUE"""),56.0)</f>
        <v>56</v>
      </c>
      <c r="E417" s="3">
        <f>IFERROR(__xludf.DUMMYFUNCTION("""COMPUTED_VALUE"""),49336.0)</f>
        <v>49336</v>
      </c>
      <c r="F417" s="3" t="str">
        <f>IFERROR(__xludf.DUMMYFUNCTION("""COMPUTED_VALUE"""),"EUR")</f>
        <v>EUR</v>
      </c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 t="str">
        <f>IFERROR(__xludf.DUMMYFUNCTION("""COMPUTED_VALUE"""),"6c7bf407-ed07-40ce-a448-b58cc7128c7d")</f>
        <v>6c7bf407-ed07-40ce-a448-b58cc7128c7d</v>
      </c>
      <c r="B418" s="3" t="str">
        <f>IFERROR(__xludf.DUMMYFUNCTION("""COMPUTED_VALUE"""),"Zaragoza")</f>
        <v>Zaragoza</v>
      </c>
      <c r="C418" s="4">
        <f>IFERROR(__xludf.DUMMYFUNCTION("""COMPUTED_VALUE"""),45663.0)</f>
        <v>45663</v>
      </c>
      <c r="D418" s="3">
        <f>IFERROR(__xludf.DUMMYFUNCTION("""COMPUTED_VALUE"""),65.0)</f>
        <v>65</v>
      </c>
      <c r="E418" s="3">
        <f>IFERROR(__xludf.DUMMYFUNCTION("""COMPUTED_VALUE"""),67860.0)</f>
        <v>67860</v>
      </c>
      <c r="F418" s="3" t="str">
        <f>IFERROR(__xludf.DUMMYFUNCTION("""COMPUTED_VALUE"""),"EUR")</f>
        <v>EUR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 t="str">
        <f>IFERROR(__xludf.DUMMYFUNCTION("""COMPUTED_VALUE"""),"07340163-2177-455f-ace4-1e34f9d6fdb5")</f>
        <v>07340163-2177-455f-ace4-1e34f9d6fdb5</v>
      </c>
      <c r="B419" s="3" t="str">
        <f>IFERROR(__xludf.DUMMYFUNCTION("""COMPUTED_VALUE"""),"Seville")</f>
        <v>Seville</v>
      </c>
      <c r="C419" s="4">
        <f>IFERROR(__xludf.DUMMYFUNCTION("""COMPUTED_VALUE"""),45663.0)</f>
        <v>45663</v>
      </c>
      <c r="D419" s="3">
        <f>IFERROR(__xludf.DUMMYFUNCTION("""COMPUTED_VALUE"""),51.0)</f>
        <v>51</v>
      </c>
      <c r="E419" s="3">
        <f>IFERROR(__xludf.DUMMYFUNCTION("""COMPUTED_VALUE"""),36363.0)</f>
        <v>36363</v>
      </c>
      <c r="F419" s="3" t="str">
        <f>IFERROR(__xludf.DUMMYFUNCTION("""COMPUTED_VALUE"""),"EUR")</f>
        <v>EUR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 t="str">
        <f>IFERROR(__xludf.DUMMYFUNCTION("""COMPUTED_VALUE"""),"4bc412af-1c45-4bb8-b79d-be831b1b65f5")</f>
        <v>4bc412af-1c45-4bb8-b79d-be831b1b65f5</v>
      </c>
      <c r="B420" s="3" t="str">
        <f>IFERROR(__xludf.DUMMYFUNCTION("""COMPUTED_VALUE"""),"Seville")</f>
        <v>Seville</v>
      </c>
      <c r="C420" s="4">
        <f>IFERROR(__xludf.DUMMYFUNCTION("""COMPUTED_VALUE"""),45663.0)</f>
        <v>45663</v>
      </c>
      <c r="D420" s="3">
        <f>IFERROR(__xludf.DUMMYFUNCTION("""COMPUTED_VALUE"""),67.0)</f>
        <v>67</v>
      </c>
      <c r="E420" s="3">
        <f>IFERROR(__xludf.DUMMYFUNCTION("""COMPUTED_VALUE"""),67603.0)</f>
        <v>67603</v>
      </c>
      <c r="F420" s="3" t="str">
        <f>IFERROR(__xludf.DUMMYFUNCTION("""COMPUTED_VALUE"""),"EUR")</f>
        <v>EUR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 t="str">
        <f>IFERROR(__xludf.DUMMYFUNCTION("""COMPUTED_VALUE"""),"8316f9b9-895c-46d0-af28-dee3bfcd140f")</f>
        <v>8316f9b9-895c-46d0-af28-dee3bfcd140f</v>
      </c>
      <c r="B421" s="3" t="str">
        <f>IFERROR(__xludf.DUMMYFUNCTION("""COMPUTED_VALUE"""),"Palma")</f>
        <v>Palma</v>
      </c>
      <c r="C421" s="4">
        <f>IFERROR(__xludf.DUMMYFUNCTION("""COMPUTED_VALUE"""),45663.0)</f>
        <v>45663</v>
      </c>
      <c r="D421" s="3">
        <f>IFERROR(__xludf.DUMMYFUNCTION("""COMPUTED_VALUE"""),66.0)</f>
        <v>66</v>
      </c>
      <c r="E421" s="3">
        <f>IFERROR(__xludf.DUMMYFUNCTION("""COMPUTED_VALUE"""),66792.0)</f>
        <v>66792</v>
      </c>
      <c r="F421" s="3" t="str">
        <f>IFERROR(__xludf.DUMMYFUNCTION("""COMPUTED_VALUE"""),"EUR")</f>
        <v>EUR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 t="str">
        <f>IFERROR(__xludf.DUMMYFUNCTION("""COMPUTED_VALUE"""),"24838163-3996-4459-92db-9f0fc24919f8")</f>
        <v>24838163-3996-4459-92db-9f0fc24919f8</v>
      </c>
      <c r="B422" s="3" t="str">
        <f>IFERROR(__xludf.DUMMYFUNCTION("""COMPUTED_VALUE"""),"Valencia")</f>
        <v>Valencia</v>
      </c>
      <c r="C422" s="4">
        <f>IFERROR(__xludf.DUMMYFUNCTION("""COMPUTED_VALUE"""),45670.0)</f>
        <v>45670</v>
      </c>
      <c r="D422" s="3">
        <f>IFERROR(__xludf.DUMMYFUNCTION("""COMPUTED_VALUE"""),56.0)</f>
        <v>56</v>
      </c>
      <c r="E422" s="3">
        <f>IFERROR(__xludf.DUMMYFUNCTION("""COMPUTED_VALUE"""),42392.0)</f>
        <v>42392</v>
      </c>
      <c r="F422" s="3" t="str">
        <f>IFERROR(__xludf.DUMMYFUNCTION("""COMPUTED_VALUE"""),"EUR")</f>
        <v>EUR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 t="str">
        <f>IFERROR(__xludf.DUMMYFUNCTION("""COMPUTED_VALUE"""),"8a5b6cb6-7623-4747-b6a8-ac073d224fc5")</f>
        <v>8a5b6cb6-7623-4747-b6a8-ac073d224fc5</v>
      </c>
      <c r="B423" s="3" t="str">
        <f>IFERROR(__xludf.DUMMYFUNCTION("""COMPUTED_VALUE"""),"Palma")</f>
        <v>Palma</v>
      </c>
      <c r="C423" s="4">
        <f>IFERROR(__xludf.DUMMYFUNCTION("""COMPUTED_VALUE"""),45670.0)</f>
        <v>45670</v>
      </c>
      <c r="D423" s="3">
        <f>IFERROR(__xludf.DUMMYFUNCTION("""COMPUTED_VALUE"""),65.0)</f>
        <v>65</v>
      </c>
      <c r="E423" s="3">
        <f>IFERROR(__xludf.DUMMYFUNCTION("""COMPUTED_VALUE"""),65195.0)</f>
        <v>65195</v>
      </c>
      <c r="F423" s="3" t="str">
        <f>IFERROR(__xludf.DUMMYFUNCTION("""COMPUTED_VALUE"""),"EUR")</f>
        <v>EUR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 t="str">
        <f>IFERROR(__xludf.DUMMYFUNCTION("""COMPUTED_VALUE"""),"1ccd7759-5d95-4dd8-9fb5-0a3c1db2ddb0")</f>
        <v>1ccd7759-5d95-4dd8-9fb5-0a3c1db2ddb0</v>
      </c>
      <c r="B424" s="3" t="str">
        <f>IFERROR(__xludf.DUMMYFUNCTION("""COMPUTED_VALUE"""),"Palma")</f>
        <v>Palma</v>
      </c>
      <c r="C424" s="4">
        <f>IFERROR(__xludf.DUMMYFUNCTION("""COMPUTED_VALUE"""),45670.0)</f>
        <v>45670</v>
      </c>
      <c r="D424" s="3">
        <f>IFERROR(__xludf.DUMMYFUNCTION("""COMPUTED_VALUE"""),56.0)</f>
        <v>56</v>
      </c>
      <c r="E424" s="3">
        <f>IFERROR(__xludf.DUMMYFUNCTION("""COMPUTED_VALUE"""),41608.0)</f>
        <v>41608</v>
      </c>
      <c r="F424" s="3" t="str">
        <f>IFERROR(__xludf.DUMMYFUNCTION("""COMPUTED_VALUE"""),"EUR")</f>
        <v>EUR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 t="str">
        <f>IFERROR(__xludf.DUMMYFUNCTION("""COMPUTED_VALUE"""),"5444739b-f358-46a1-9355-3671cbaa2dea")</f>
        <v>5444739b-f358-46a1-9355-3671cbaa2dea</v>
      </c>
      <c r="B425" s="3" t="str">
        <f>IFERROR(__xludf.DUMMYFUNCTION("""COMPUTED_VALUE"""),"Barcelona")</f>
        <v>Barcelona</v>
      </c>
      <c r="C425" s="4">
        <f>IFERROR(__xludf.DUMMYFUNCTION("""COMPUTED_VALUE"""),45670.0)</f>
        <v>45670</v>
      </c>
      <c r="D425" s="3">
        <f>IFERROR(__xludf.DUMMYFUNCTION("""COMPUTED_VALUE"""),60.0)</f>
        <v>60</v>
      </c>
      <c r="E425" s="3">
        <f>IFERROR(__xludf.DUMMYFUNCTION("""COMPUTED_VALUE"""),50460.0)</f>
        <v>50460</v>
      </c>
      <c r="F425" s="3" t="str">
        <f>IFERROR(__xludf.DUMMYFUNCTION("""COMPUTED_VALUE"""),"EUR")</f>
        <v>EUR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 t="str">
        <f>IFERROR(__xludf.DUMMYFUNCTION("""COMPUTED_VALUE"""),"2f9399a5-80b7-443c-8a8f-130632741075")</f>
        <v>2f9399a5-80b7-443c-8a8f-130632741075</v>
      </c>
      <c r="B426" s="3" t="str">
        <f>IFERROR(__xludf.DUMMYFUNCTION("""COMPUTED_VALUE"""),"Valencia")</f>
        <v>Valencia</v>
      </c>
      <c r="C426" s="4">
        <f>IFERROR(__xludf.DUMMYFUNCTION("""COMPUTED_VALUE"""),45670.0)</f>
        <v>45670</v>
      </c>
      <c r="D426" s="3">
        <f>IFERROR(__xludf.DUMMYFUNCTION("""COMPUTED_VALUE"""),61.0)</f>
        <v>61</v>
      </c>
      <c r="E426" s="3">
        <f>IFERROR(__xludf.DUMMYFUNCTION("""COMPUTED_VALUE"""),63745.0)</f>
        <v>63745</v>
      </c>
      <c r="F426" s="3" t="str">
        <f>IFERROR(__xludf.DUMMYFUNCTION("""COMPUTED_VALUE"""),"EUR")</f>
        <v>EUR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 t="str">
        <f>IFERROR(__xludf.DUMMYFUNCTION("""COMPUTED_VALUE"""),"b297b739-f8fe-4824-a6c1-8bca87382010")</f>
        <v>b297b739-f8fe-4824-a6c1-8bca87382010</v>
      </c>
      <c r="B427" s="3" t="str">
        <f>IFERROR(__xludf.DUMMYFUNCTION("""COMPUTED_VALUE"""),"Palma")</f>
        <v>Palma</v>
      </c>
      <c r="C427" s="4">
        <f>IFERROR(__xludf.DUMMYFUNCTION("""COMPUTED_VALUE"""),45670.0)</f>
        <v>45670</v>
      </c>
      <c r="D427" s="3">
        <f>IFERROR(__xludf.DUMMYFUNCTION("""COMPUTED_VALUE"""),64.0)</f>
        <v>64</v>
      </c>
      <c r="E427" s="3">
        <f>IFERROR(__xludf.DUMMYFUNCTION("""COMPUTED_VALUE"""),58816.0)</f>
        <v>58816</v>
      </c>
      <c r="F427" s="3" t="str">
        <f>IFERROR(__xludf.DUMMYFUNCTION("""COMPUTED_VALUE"""),"EUR")</f>
        <v>EUR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 t="str">
        <f>IFERROR(__xludf.DUMMYFUNCTION("""COMPUTED_VALUE"""),"6cd4e310-54ae-4b84-a4a4-c8993ccaf468")</f>
        <v>6cd4e310-54ae-4b84-a4a4-c8993ccaf468</v>
      </c>
      <c r="B428" s="3" t="str">
        <f>IFERROR(__xludf.DUMMYFUNCTION("""COMPUTED_VALUE"""),"Barcelona")</f>
        <v>Barcelona</v>
      </c>
      <c r="C428" s="4">
        <f>IFERROR(__xludf.DUMMYFUNCTION("""COMPUTED_VALUE"""),45670.0)</f>
        <v>45670</v>
      </c>
      <c r="D428" s="3">
        <f>IFERROR(__xludf.DUMMYFUNCTION("""COMPUTED_VALUE"""),55.0)</f>
        <v>55</v>
      </c>
      <c r="E428" s="3">
        <f>IFERROR(__xludf.DUMMYFUNCTION("""COMPUTED_VALUE"""),41690.0)</f>
        <v>41690</v>
      </c>
      <c r="F428" s="3" t="str">
        <f>IFERROR(__xludf.DUMMYFUNCTION("""COMPUTED_VALUE"""),"EUR")</f>
        <v>EUR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 t="str">
        <f>IFERROR(__xludf.DUMMYFUNCTION("""COMPUTED_VALUE"""),"bf3267d7-716f-4152-894b-923357d6bca8")</f>
        <v>bf3267d7-716f-4152-894b-923357d6bca8</v>
      </c>
      <c r="B429" s="3" t="str">
        <f>IFERROR(__xludf.DUMMYFUNCTION("""COMPUTED_VALUE"""),"Valencia")</f>
        <v>Valencia</v>
      </c>
      <c r="C429" s="4">
        <f>IFERROR(__xludf.DUMMYFUNCTION("""COMPUTED_VALUE"""),45670.0)</f>
        <v>45670</v>
      </c>
      <c r="D429" s="3">
        <f>IFERROR(__xludf.DUMMYFUNCTION("""COMPUTED_VALUE"""),57.0)</f>
        <v>57</v>
      </c>
      <c r="E429" s="3">
        <f>IFERROR(__xludf.DUMMYFUNCTION("""COMPUTED_VALUE"""),49362.0)</f>
        <v>49362</v>
      </c>
      <c r="F429" s="3" t="str">
        <f>IFERROR(__xludf.DUMMYFUNCTION("""COMPUTED_VALUE"""),"EUR")</f>
        <v>EUR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 t="str">
        <f>IFERROR(__xludf.DUMMYFUNCTION("""COMPUTED_VALUE"""),"3edbff60-5a8e-42e1-9d1d-367d0234796a")</f>
        <v>3edbff60-5a8e-42e1-9d1d-367d0234796a</v>
      </c>
      <c r="B430" s="3" t="str">
        <f>IFERROR(__xludf.DUMMYFUNCTION("""COMPUTED_VALUE"""),"Valencia")</f>
        <v>Valencia</v>
      </c>
      <c r="C430" s="4">
        <f>IFERROR(__xludf.DUMMYFUNCTION("""COMPUTED_VALUE"""),45670.0)</f>
        <v>45670</v>
      </c>
      <c r="D430" s="3">
        <f>IFERROR(__xludf.DUMMYFUNCTION("""COMPUTED_VALUE"""),52.0)</f>
        <v>52</v>
      </c>
      <c r="E430" s="3">
        <f>IFERROR(__xludf.DUMMYFUNCTION("""COMPUTED_VALUE"""),36452.0)</f>
        <v>36452</v>
      </c>
      <c r="F430" s="3" t="str">
        <f>IFERROR(__xludf.DUMMYFUNCTION("""COMPUTED_VALUE"""),"EUR")</f>
        <v>EUR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 t="str">
        <f>IFERROR(__xludf.DUMMYFUNCTION("""COMPUTED_VALUE"""),"ff664904-970d-4b4a-810d-39742ae7ed11")</f>
        <v>ff664904-970d-4b4a-810d-39742ae7ed11</v>
      </c>
      <c r="B431" s="3" t="str">
        <f>IFERROR(__xludf.DUMMYFUNCTION("""COMPUTED_VALUE"""),"Seville")</f>
        <v>Seville</v>
      </c>
      <c r="C431" s="4">
        <f>IFERROR(__xludf.DUMMYFUNCTION("""COMPUTED_VALUE"""),45670.0)</f>
        <v>45670</v>
      </c>
      <c r="D431" s="3">
        <f>IFERROR(__xludf.DUMMYFUNCTION("""COMPUTED_VALUE"""),62.0)</f>
        <v>62</v>
      </c>
      <c r="E431" s="3">
        <f>IFERROR(__xludf.DUMMYFUNCTION("""COMPUTED_VALUE"""),61504.0)</f>
        <v>61504</v>
      </c>
      <c r="F431" s="3" t="str">
        <f>IFERROR(__xludf.DUMMYFUNCTION("""COMPUTED_VALUE"""),"EUR")</f>
        <v>EUR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 t="str">
        <f>IFERROR(__xludf.DUMMYFUNCTION("""COMPUTED_VALUE"""),"661caff1-c5b1-4de3-9083-ca0d09602918")</f>
        <v>661caff1-c5b1-4de3-9083-ca0d09602918</v>
      </c>
      <c r="B432" s="3" t="str">
        <f>IFERROR(__xludf.DUMMYFUNCTION("""COMPUTED_VALUE"""),"Madrid")</f>
        <v>Madrid</v>
      </c>
      <c r="C432" s="4">
        <f>IFERROR(__xludf.DUMMYFUNCTION("""COMPUTED_VALUE"""),45670.0)</f>
        <v>45670</v>
      </c>
      <c r="D432" s="3">
        <f>IFERROR(__xludf.DUMMYFUNCTION("""COMPUTED_VALUE"""),60.0)</f>
        <v>60</v>
      </c>
      <c r="E432" s="3">
        <f>IFERROR(__xludf.DUMMYFUNCTION("""COMPUTED_VALUE"""),53100.0)</f>
        <v>53100</v>
      </c>
      <c r="F432" s="3" t="str">
        <f>IFERROR(__xludf.DUMMYFUNCTION("""COMPUTED_VALUE"""),"EUR")</f>
        <v>EUR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 t="str">
        <f>IFERROR(__xludf.DUMMYFUNCTION("""COMPUTED_VALUE"""),"c0b4cae2-af04-411b-84ad-3e0afa9f117b")</f>
        <v>c0b4cae2-af04-411b-84ad-3e0afa9f117b</v>
      </c>
      <c r="B433" s="3" t="str">
        <f>IFERROR(__xludf.DUMMYFUNCTION("""COMPUTED_VALUE"""),"Seville")</f>
        <v>Seville</v>
      </c>
      <c r="C433" s="4">
        <f>IFERROR(__xludf.DUMMYFUNCTION("""COMPUTED_VALUE"""),45670.0)</f>
        <v>45670</v>
      </c>
      <c r="D433" s="3">
        <f>IFERROR(__xludf.DUMMYFUNCTION("""COMPUTED_VALUE"""),51.0)</f>
        <v>51</v>
      </c>
      <c r="E433" s="3">
        <f>IFERROR(__xludf.DUMMYFUNCTION("""COMPUTED_VALUE"""),42789.0)</f>
        <v>42789</v>
      </c>
      <c r="F433" s="3" t="str">
        <f>IFERROR(__xludf.DUMMYFUNCTION("""COMPUTED_VALUE"""),"EUR")</f>
        <v>EUR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 t="str">
        <f>IFERROR(__xludf.DUMMYFUNCTION("""COMPUTED_VALUE"""),"b94134e5-0461-4c44-8546-4ffc413d3f98")</f>
        <v>b94134e5-0461-4c44-8546-4ffc413d3f98</v>
      </c>
      <c r="B434" s="3" t="str">
        <f>IFERROR(__xludf.DUMMYFUNCTION("""COMPUTED_VALUE"""),"Seville")</f>
        <v>Seville</v>
      </c>
      <c r="C434" s="4">
        <f>IFERROR(__xludf.DUMMYFUNCTION("""COMPUTED_VALUE"""),45670.0)</f>
        <v>45670</v>
      </c>
      <c r="D434" s="3">
        <f>IFERROR(__xludf.DUMMYFUNCTION("""COMPUTED_VALUE"""),57.0)</f>
        <v>57</v>
      </c>
      <c r="E434" s="3">
        <f>IFERROR(__xludf.DUMMYFUNCTION("""COMPUTED_VALUE"""),50217.0)</f>
        <v>50217</v>
      </c>
      <c r="F434" s="3" t="str">
        <f>IFERROR(__xludf.DUMMYFUNCTION("""COMPUTED_VALUE"""),"EUR")</f>
        <v>EUR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 t="str">
        <f>IFERROR(__xludf.DUMMYFUNCTION("""COMPUTED_VALUE"""),"1157d270-01cf-481b-b487-4028f582b098")</f>
        <v>1157d270-01cf-481b-b487-4028f582b098</v>
      </c>
      <c r="B435" s="3" t="str">
        <f>IFERROR(__xludf.DUMMYFUNCTION("""COMPUTED_VALUE"""),"Barcelona")</f>
        <v>Barcelona</v>
      </c>
      <c r="C435" s="4">
        <f>IFERROR(__xludf.DUMMYFUNCTION("""COMPUTED_VALUE"""),45670.0)</f>
        <v>45670</v>
      </c>
      <c r="D435" s="3">
        <f>IFERROR(__xludf.DUMMYFUNCTION("""COMPUTED_VALUE"""),65.0)</f>
        <v>65</v>
      </c>
      <c r="E435" s="3">
        <f>IFERROR(__xludf.DUMMYFUNCTION("""COMPUTED_VALUE"""),65975.0)</f>
        <v>65975</v>
      </c>
      <c r="F435" s="3" t="str">
        <f>IFERROR(__xludf.DUMMYFUNCTION("""COMPUTED_VALUE"""),"EUR")</f>
        <v>EUR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 t="str">
        <f>IFERROR(__xludf.DUMMYFUNCTION("""COMPUTED_VALUE"""),"45f8eba0-aa41-4552-a068-6fa6724f2be4")</f>
        <v>45f8eba0-aa41-4552-a068-6fa6724f2be4</v>
      </c>
      <c r="B436" s="3" t="str">
        <f>IFERROR(__xludf.DUMMYFUNCTION("""COMPUTED_VALUE"""),"Seville")</f>
        <v>Seville</v>
      </c>
      <c r="C436" s="4">
        <f>IFERROR(__xludf.DUMMYFUNCTION("""COMPUTED_VALUE"""),45670.0)</f>
        <v>45670</v>
      </c>
      <c r="D436" s="3">
        <f>IFERROR(__xludf.DUMMYFUNCTION("""COMPUTED_VALUE"""),55.0)</f>
        <v>55</v>
      </c>
      <c r="E436" s="3">
        <f>IFERROR(__xludf.DUMMYFUNCTION("""COMPUTED_VALUE"""),39325.0)</f>
        <v>39325</v>
      </c>
      <c r="F436" s="3" t="str">
        <f>IFERROR(__xludf.DUMMYFUNCTION("""COMPUTED_VALUE"""),"EUR")</f>
        <v>EUR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 t="str">
        <f>IFERROR(__xludf.DUMMYFUNCTION("""COMPUTED_VALUE"""),"5481e7d1-64c0-41ae-97ec-cf703b223a0c")</f>
        <v>5481e7d1-64c0-41ae-97ec-cf703b223a0c</v>
      </c>
      <c r="B437" s="3" t="str">
        <f>IFERROR(__xludf.DUMMYFUNCTION("""COMPUTED_VALUE"""),"Alicante")</f>
        <v>Alicante</v>
      </c>
      <c r="C437" s="4">
        <f>IFERROR(__xludf.DUMMYFUNCTION("""COMPUTED_VALUE"""),45670.0)</f>
        <v>45670</v>
      </c>
      <c r="D437" s="3">
        <f>IFERROR(__xludf.DUMMYFUNCTION("""COMPUTED_VALUE"""),56.0)</f>
        <v>56</v>
      </c>
      <c r="E437" s="3">
        <f>IFERROR(__xludf.DUMMYFUNCTION("""COMPUTED_VALUE"""),40824.0)</f>
        <v>40824</v>
      </c>
      <c r="F437" s="3" t="str">
        <f>IFERROR(__xludf.DUMMYFUNCTION("""COMPUTED_VALUE"""),"EUR")</f>
        <v>EUR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 t="str">
        <f>IFERROR(__xludf.DUMMYFUNCTION("""COMPUTED_VALUE"""),"7ae299a0-47b9-431e-9d07-df2029dee59d")</f>
        <v>7ae299a0-47b9-431e-9d07-df2029dee59d</v>
      </c>
      <c r="B438" s="3" t="str">
        <f>IFERROR(__xludf.DUMMYFUNCTION("""COMPUTED_VALUE"""),"Barcelona")</f>
        <v>Barcelona</v>
      </c>
      <c r="C438" s="4">
        <f>IFERROR(__xludf.DUMMYFUNCTION("""COMPUTED_VALUE"""),45670.0)</f>
        <v>45670</v>
      </c>
      <c r="D438" s="3">
        <f>IFERROR(__xludf.DUMMYFUNCTION("""COMPUTED_VALUE"""),69.0)</f>
        <v>69</v>
      </c>
      <c r="E438" s="3">
        <f>IFERROR(__xludf.DUMMYFUNCTION("""COMPUTED_VALUE"""),66309.0)</f>
        <v>66309</v>
      </c>
      <c r="F438" s="3" t="str">
        <f>IFERROR(__xludf.DUMMYFUNCTION("""COMPUTED_VALUE"""),"EUR")</f>
        <v>EUR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 t="str">
        <f>IFERROR(__xludf.DUMMYFUNCTION("""COMPUTED_VALUE"""),"b4173f0b-b79e-4e44-8834-e3183ecf2c2a")</f>
        <v>b4173f0b-b79e-4e44-8834-e3183ecf2c2a</v>
      </c>
      <c r="B439" s="3" t="str">
        <f>IFERROR(__xludf.DUMMYFUNCTION("""COMPUTED_VALUE"""),"Madrid")</f>
        <v>Madrid</v>
      </c>
      <c r="C439" s="4">
        <f>IFERROR(__xludf.DUMMYFUNCTION("""COMPUTED_VALUE"""),45670.0)</f>
        <v>45670</v>
      </c>
      <c r="D439" s="3">
        <f>IFERROR(__xludf.DUMMYFUNCTION("""COMPUTED_VALUE"""),57.0)</f>
        <v>57</v>
      </c>
      <c r="E439" s="3">
        <f>IFERROR(__xludf.DUMMYFUNCTION("""COMPUTED_VALUE"""),46170.0)</f>
        <v>46170</v>
      </c>
      <c r="F439" s="3" t="str">
        <f>IFERROR(__xludf.DUMMYFUNCTION("""COMPUTED_VALUE"""),"EUR")</f>
        <v>EUR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 t="str">
        <f>IFERROR(__xludf.DUMMYFUNCTION("""COMPUTED_VALUE"""),"04e9a325-07dc-4fdf-989d-96c386de8229")</f>
        <v>04e9a325-07dc-4fdf-989d-96c386de8229</v>
      </c>
      <c r="B440" s="3" t="str">
        <f>IFERROR(__xludf.DUMMYFUNCTION("""COMPUTED_VALUE"""),"Zaragoza")</f>
        <v>Zaragoza</v>
      </c>
      <c r="C440" s="4">
        <f>IFERROR(__xludf.DUMMYFUNCTION("""COMPUTED_VALUE"""),45670.0)</f>
        <v>45670</v>
      </c>
      <c r="D440" s="3">
        <f>IFERROR(__xludf.DUMMYFUNCTION("""COMPUTED_VALUE"""),69.0)</f>
        <v>69</v>
      </c>
      <c r="E440" s="3">
        <f>IFERROR(__xludf.DUMMYFUNCTION("""COMPUTED_VALUE"""),72450.0)</f>
        <v>72450</v>
      </c>
      <c r="F440" s="3" t="str">
        <f>IFERROR(__xludf.DUMMYFUNCTION("""COMPUTED_VALUE"""),"EUR")</f>
        <v>EUR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 t="str">
        <f>IFERROR(__xludf.DUMMYFUNCTION("""COMPUTED_VALUE"""),"c7acb219-5a1c-42ff-a32c-b6769f2505bd")</f>
        <v>c7acb219-5a1c-42ff-a32c-b6769f2505bd</v>
      </c>
      <c r="B441" s="3" t="str">
        <f>IFERROR(__xludf.DUMMYFUNCTION("""COMPUTED_VALUE"""),"Barcelona")</f>
        <v>Barcelona</v>
      </c>
      <c r="C441" s="4">
        <f>IFERROR(__xludf.DUMMYFUNCTION("""COMPUTED_VALUE"""),45670.0)</f>
        <v>45670</v>
      </c>
      <c r="D441" s="3">
        <f>IFERROR(__xludf.DUMMYFUNCTION("""COMPUTED_VALUE"""),55.0)</f>
        <v>55</v>
      </c>
      <c r="E441" s="3">
        <f>IFERROR(__xludf.DUMMYFUNCTION("""COMPUTED_VALUE"""),49280.0)</f>
        <v>49280</v>
      </c>
      <c r="F441" s="3" t="str">
        <f>IFERROR(__xludf.DUMMYFUNCTION("""COMPUTED_VALUE"""),"EUR")</f>
        <v>EUR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 t="str">
        <f>IFERROR(__xludf.DUMMYFUNCTION("""COMPUTED_VALUE"""),"e5aa4400-ca94-40c4-a26e-5826fdf56e62")</f>
        <v>e5aa4400-ca94-40c4-a26e-5826fdf56e62</v>
      </c>
      <c r="B442" s="3" t="str">
        <f>IFERROR(__xludf.DUMMYFUNCTION("""COMPUTED_VALUE"""),"Alicante")</f>
        <v>Alicante</v>
      </c>
      <c r="C442" s="4">
        <f>IFERROR(__xludf.DUMMYFUNCTION("""COMPUTED_VALUE"""),45670.0)</f>
        <v>45670</v>
      </c>
      <c r="D442" s="3">
        <f>IFERROR(__xludf.DUMMYFUNCTION("""COMPUTED_VALUE"""),53.0)</f>
        <v>53</v>
      </c>
      <c r="E442" s="3">
        <f>IFERROR(__xludf.DUMMYFUNCTION("""COMPUTED_VALUE"""),45156.0)</f>
        <v>45156</v>
      </c>
      <c r="F442" s="3" t="str">
        <f>IFERROR(__xludf.DUMMYFUNCTION("""COMPUTED_VALUE"""),"EUR")</f>
        <v>EUR</v>
      </c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 t="str">
        <f>IFERROR(__xludf.DUMMYFUNCTION("""COMPUTED_VALUE"""),"4933f5ce-8c6e-4774-ba1c-45f12cdd504b")</f>
        <v>4933f5ce-8c6e-4774-ba1c-45f12cdd504b</v>
      </c>
      <c r="B443" s="3" t="str">
        <f>IFERROR(__xludf.DUMMYFUNCTION("""COMPUTED_VALUE"""),"Madrid")</f>
        <v>Madrid</v>
      </c>
      <c r="C443" s="4">
        <f>IFERROR(__xludf.DUMMYFUNCTION("""COMPUTED_VALUE"""),45670.0)</f>
        <v>45670</v>
      </c>
      <c r="D443" s="3">
        <f>IFERROR(__xludf.DUMMYFUNCTION("""COMPUTED_VALUE"""),55.0)</f>
        <v>55</v>
      </c>
      <c r="E443" s="3">
        <f>IFERROR(__xludf.DUMMYFUNCTION("""COMPUTED_VALUE"""),43285.0)</f>
        <v>43285</v>
      </c>
      <c r="F443" s="3" t="str">
        <f>IFERROR(__xludf.DUMMYFUNCTION("""COMPUTED_VALUE"""),"EUR")</f>
        <v>EUR</v>
      </c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 t="str">
        <f>IFERROR(__xludf.DUMMYFUNCTION("""COMPUTED_VALUE"""),"2a43dd5f-493d-4ce3-b5a9-5d4f5ae7f049")</f>
        <v>2a43dd5f-493d-4ce3-b5a9-5d4f5ae7f049</v>
      </c>
      <c r="B444" s="3" t="str">
        <f>IFERROR(__xludf.DUMMYFUNCTION("""COMPUTED_VALUE"""),"Barcelona")</f>
        <v>Barcelona</v>
      </c>
      <c r="C444" s="4">
        <f>IFERROR(__xludf.DUMMYFUNCTION("""COMPUTED_VALUE"""),45670.0)</f>
        <v>45670</v>
      </c>
      <c r="D444" s="3">
        <f>IFERROR(__xludf.DUMMYFUNCTION("""COMPUTED_VALUE"""),51.0)</f>
        <v>51</v>
      </c>
      <c r="E444" s="3">
        <f>IFERROR(__xludf.DUMMYFUNCTION("""COMPUTED_VALUE"""),40698.0)</f>
        <v>40698</v>
      </c>
      <c r="F444" s="3" t="str">
        <f>IFERROR(__xludf.DUMMYFUNCTION("""COMPUTED_VALUE"""),"EUR")</f>
        <v>EUR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 t="str">
        <f>IFERROR(__xludf.DUMMYFUNCTION("""COMPUTED_VALUE"""),"47669223-1964-48c7-9e8c-1995306b01ef")</f>
        <v>47669223-1964-48c7-9e8c-1995306b01ef</v>
      </c>
      <c r="B445" s="3" t="str">
        <f>IFERROR(__xludf.DUMMYFUNCTION("""COMPUTED_VALUE"""),"Zaragoza")</f>
        <v>Zaragoza</v>
      </c>
      <c r="C445" s="4">
        <f>IFERROR(__xludf.DUMMYFUNCTION("""COMPUTED_VALUE"""),45670.0)</f>
        <v>45670</v>
      </c>
      <c r="D445" s="3">
        <f>IFERROR(__xludf.DUMMYFUNCTION("""COMPUTED_VALUE"""),52.0)</f>
        <v>52</v>
      </c>
      <c r="E445" s="3">
        <f>IFERROR(__xludf.DUMMYFUNCTION("""COMPUTED_VALUE"""),38428.0)</f>
        <v>38428</v>
      </c>
      <c r="F445" s="3" t="str">
        <f>IFERROR(__xludf.DUMMYFUNCTION("""COMPUTED_VALUE"""),"EUR")</f>
        <v>EUR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 t="str">
        <f>IFERROR(__xludf.DUMMYFUNCTION("""COMPUTED_VALUE"""),"6d1ecd55-5d28-4120-ae4a-fe49ad773625")</f>
        <v>6d1ecd55-5d28-4120-ae4a-fe49ad773625</v>
      </c>
      <c r="B446" s="3" t="str">
        <f>IFERROR(__xludf.DUMMYFUNCTION("""COMPUTED_VALUE"""),"Barcelona")</f>
        <v>Barcelona</v>
      </c>
      <c r="C446" s="4">
        <f>IFERROR(__xludf.DUMMYFUNCTION("""COMPUTED_VALUE"""),45670.0)</f>
        <v>45670</v>
      </c>
      <c r="D446" s="3">
        <f>IFERROR(__xludf.DUMMYFUNCTION("""COMPUTED_VALUE"""),68.0)</f>
        <v>68</v>
      </c>
      <c r="E446" s="3">
        <f>IFERROR(__xludf.DUMMYFUNCTION("""COMPUTED_VALUE"""),70856.0)</f>
        <v>70856</v>
      </c>
      <c r="F446" s="3" t="str">
        <f>IFERROR(__xludf.DUMMYFUNCTION("""COMPUTED_VALUE"""),"EUR")</f>
        <v>EUR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 t="str">
        <f>IFERROR(__xludf.DUMMYFUNCTION("""COMPUTED_VALUE"""),"73b755fd-77e8-488c-a975-b258235880ab")</f>
        <v>73b755fd-77e8-488c-a975-b258235880ab</v>
      </c>
      <c r="B447" s="3" t="str">
        <f>IFERROR(__xludf.DUMMYFUNCTION("""COMPUTED_VALUE"""),"Barcelona")</f>
        <v>Barcelona</v>
      </c>
      <c r="C447" s="4">
        <f>IFERROR(__xludf.DUMMYFUNCTION("""COMPUTED_VALUE"""),45670.0)</f>
        <v>45670</v>
      </c>
      <c r="D447" s="3">
        <f>IFERROR(__xludf.DUMMYFUNCTION("""COMPUTED_VALUE"""),51.0)</f>
        <v>51</v>
      </c>
      <c r="E447" s="3">
        <f>IFERROR(__xludf.DUMMYFUNCTION("""COMPUTED_VALUE"""),45339.0)</f>
        <v>45339</v>
      </c>
      <c r="F447" s="3" t="str">
        <f>IFERROR(__xludf.DUMMYFUNCTION("""COMPUTED_VALUE"""),"EUR")</f>
        <v>EUR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 t="str">
        <f>IFERROR(__xludf.DUMMYFUNCTION("""COMPUTED_VALUE"""),"fe69cc93-2d13-4b35-aab4-2097a6e0663c")</f>
        <v>fe69cc93-2d13-4b35-aab4-2097a6e0663c</v>
      </c>
      <c r="B448" s="3" t="str">
        <f>IFERROR(__xludf.DUMMYFUNCTION("""COMPUTED_VALUE"""),"Madrid")</f>
        <v>Madrid</v>
      </c>
      <c r="C448" s="4">
        <f>IFERROR(__xludf.DUMMYFUNCTION("""COMPUTED_VALUE"""),45670.0)</f>
        <v>45670</v>
      </c>
      <c r="D448" s="3">
        <f>IFERROR(__xludf.DUMMYFUNCTION("""COMPUTED_VALUE"""),65.0)</f>
        <v>65</v>
      </c>
      <c r="E448" s="3">
        <f>IFERROR(__xludf.DUMMYFUNCTION("""COMPUTED_VALUE"""),68185.0)</f>
        <v>68185</v>
      </c>
      <c r="F448" s="3" t="str">
        <f>IFERROR(__xludf.DUMMYFUNCTION("""COMPUTED_VALUE"""),"EUR")</f>
        <v>EUR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 t="str">
        <f>IFERROR(__xludf.DUMMYFUNCTION("""COMPUTED_VALUE"""),"a5891e66-f7dd-435c-87b7-74aed3f05510")</f>
        <v>a5891e66-f7dd-435c-87b7-74aed3f05510</v>
      </c>
      <c r="B449" s="3" t="str">
        <f>IFERROR(__xludf.DUMMYFUNCTION("""COMPUTED_VALUE"""),"Alicante")</f>
        <v>Alicante</v>
      </c>
      <c r="C449" s="4">
        <f>IFERROR(__xludf.DUMMYFUNCTION("""COMPUTED_VALUE"""),45670.0)</f>
        <v>45670</v>
      </c>
      <c r="D449" s="3">
        <f>IFERROR(__xludf.DUMMYFUNCTION("""COMPUTED_VALUE"""),57.0)</f>
        <v>57</v>
      </c>
      <c r="E449" s="3">
        <f>IFERROR(__xludf.DUMMYFUNCTION("""COMPUTED_VALUE"""),44460.0)</f>
        <v>44460</v>
      </c>
      <c r="F449" s="3" t="str">
        <f>IFERROR(__xludf.DUMMYFUNCTION("""COMPUTED_VALUE"""),"EUR")</f>
        <v>EUR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 t="str">
        <f>IFERROR(__xludf.DUMMYFUNCTION("""COMPUTED_VALUE"""),"c3365fce-999f-4f1c-9ee9-ee10f65183f4")</f>
        <v>c3365fce-999f-4f1c-9ee9-ee10f65183f4</v>
      </c>
      <c r="B450" s="3" t="str">
        <f>IFERROR(__xludf.DUMMYFUNCTION("""COMPUTED_VALUE"""),"Seville")</f>
        <v>Seville</v>
      </c>
      <c r="C450" s="4">
        <f>IFERROR(__xludf.DUMMYFUNCTION("""COMPUTED_VALUE"""),45670.0)</f>
        <v>45670</v>
      </c>
      <c r="D450" s="3">
        <f>IFERROR(__xludf.DUMMYFUNCTION("""COMPUTED_VALUE"""),60.0)</f>
        <v>60</v>
      </c>
      <c r="E450" s="3">
        <f>IFERROR(__xludf.DUMMYFUNCTION("""COMPUTED_VALUE"""),42900.0)</f>
        <v>42900</v>
      </c>
      <c r="F450" s="3" t="str">
        <f>IFERROR(__xludf.DUMMYFUNCTION("""COMPUTED_VALUE"""),"EUR")</f>
        <v>EUR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 t="str">
        <f>IFERROR(__xludf.DUMMYFUNCTION("""COMPUTED_VALUE"""),"068075e9-c780-4f54-80c8-5aa0fab772ac")</f>
        <v>068075e9-c780-4f54-80c8-5aa0fab772ac</v>
      </c>
      <c r="B451" s="3" t="str">
        <f>IFERROR(__xludf.DUMMYFUNCTION("""COMPUTED_VALUE"""),"Valencia")</f>
        <v>Valencia</v>
      </c>
      <c r="C451" s="4">
        <f>IFERROR(__xludf.DUMMYFUNCTION("""COMPUTED_VALUE"""),45670.0)</f>
        <v>45670</v>
      </c>
      <c r="D451" s="3">
        <f>IFERROR(__xludf.DUMMYFUNCTION("""COMPUTED_VALUE"""),53.0)</f>
        <v>53</v>
      </c>
      <c r="E451" s="3">
        <f>IFERROR(__xludf.DUMMYFUNCTION("""COMPUTED_VALUE"""),47329.0)</f>
        <v>47329</v>
      </c>
      <c r="F451" s="3" t="str">
        <f>IFERROR(__xludf.DUMMYFUNCTION("""COMPUTED_VALUE"""),"EUR")</f>
        <v>EUR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 t="str">
        <f>IFERROR(__xludf.DUMMYFUNCTION("""COMPUTED_VALUE"""),"21c4491a-386a-4ffd-909f-32c14701fdc1")</f>
        <v>21c4491a-386a-4ffd-909f-32c14701fdc1</v>
      </c>
      <c r="B452" s="3" t="str">
        <f>IFERROR(__xludf.DUMMYFUNCTION("""COMPUTED_VALUE"""),"Valencia")</f>
        <v>Valencia</v>
      </c>
      <c r="C452" s="4">
        <f>IFERROR(__xludf.DUMMYFUNCTION("""COMPUTED_VALUE"""),45670.0)</f>
        <v>45670</v>
      </c>
      <c r="D452" s="3">
        <f>IFERROR(__xludf.DUMMYFUNCTION("""COMPUTED_VALUE"""),57.0)</f>
        <v>57</v>
      </c>
      <c r="E452" s="3">
        <f>IFERROR(__xludf.DUMMYFUNCTION("""COMPUTED_VALUE"""),47709.0)</f>
        <v>47709</v>
      </c>
      <c r="F452" s="3" t="str">
        <f>IFERROR(__xludf.DUMMYFUNCTION("""COMPUTED_VALUE"""),"EUR")</f>
        <v>EUR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 t="str">
        <f>IFERROR(__xludf.DUMMYFUNCTION("""COMPUTED_VALUE"""),"879b3fc5-9c0b-4661-afd4-8b96b1d2b38f")</f>
        <v>879b3fc5-9c0b-4661-afd4-8b96b1d2b38f</v>
      </c>
      <c r="B453" s="3" t="str">
        <f>IFERROR(__xludf.DUMMYFUNCTION("""COMPUTED_VALUE"""),"Alicante")</f>
        <v>Alicante</v>
      </c>
      <c r="C453" s="4">
        <f>IFERROR(__xludf.DUMMYFUNCTION("""COMPUTED_VALUE"""),45670.0)</f>
        <v>45670</v>
      </c>
      <c r="D453" s="3">
        <f>IFERROR(__xludf.DUMMYFUNCTION("""COMPUTED_VALUE"""),54.0)</f>
        <v>54</v>
      </c>
      <c r="E453" s="3">
        <f>IFERROR(__xludf.DUMMYFUNCTION("""COMPUTED_VALUE"""),39960.0)</f>
        <v>39960</v>
      </c>
      <c r="F453" s="3" t="str">
        <f>IFERROR(__xludf.DUMMYFUNCTION("""COMPUTED_VALUE"""),"EUR")</f>
        <v>EUR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 t="str">
        <f>IFERROR(__xludf.DUMMYFUNCTION("""COMPUTED_VALUE"""),"5645c367-ee12-42c7-9488-1d56d4eb9085")</f>
        <v>5645c367-ee12-42c7-9488-1d56d4eb9085</v>
      </c>
      <c r="B454" s="3" t="str">
        <f>IFERROR(__xludf.DUMMYFUNCTION("""COMPUTED_VALUE"""),"Barcelona")</f>
        <v>Barcelona</v>
      </c>
      <c r="C454" s="4">
        <f>IFERROR(__xludf.DUMMYFUNCTION("""COMPUTED_VALUE"""),45670.0)</f>
        <v>45670</v>
      </c>
      <c r="D454" s="3">
        <f>IFERROR(__xludf.DUMMYFUNCTION("""COMPUTED_VALUE"""),57.0)</f>
        <v>57</v>
      </c>
      <c r="E454" s="3">
        <f>IFERROR(__xludf.DUMMYFUNCTION("""COMPUTED_VALUE"""),43434.0)</f>
        <v>43434</v>
      </c>
      <c r="F454" s="3" t="str">
        <f>IFERROR(__xludf.DUMMYFUNCTION("""COMPUTED_VALUE"""),"EUR")</f>
        <v>EUR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 t="str">
        <f>IFERROR(__xludf.DUMMYFUNCTION("""COMPUTED_VALUE"""),"f09bab7b-cde8-4149-9eb2-7b6f1c3b7176")</f>
        <v>f09bab7b-cde8-4149-9eb2-7b6f1c3b7176</v>
      </c>
      <c r="B455" s="3" t="str">
        <f>IFERROR(__xludf.DUMMYFUNCTION("""COMPUTED_VALUE"""),"Zaragoza")</f>
        <v>Zaragoza</v>
      </c>
      <c r="C455" s="4">
        <f>IFERROR(__xludf.DUMMYFUNCTION("""COMPUTED_VALUE"""),45670.0)</f>
        <v>45670</v>
      </c>
      <c r="D455" s="3">
        <f>IFERROR(__xludf.DUMMYFUNCTION("""COMPUTED_VALUE"""),64.0)</f>
        <v>64</v>
      </c>
      <c r="E455" s="3">
        <f>IFERROR(__xludf.DUMMYFUNCTION("""COMPUTED_VALUE"""),63232.0)</f>
        <v>63232</v>
      </c>
      <c r="F455" s="3" t="str">
        <f>IFERROR(__xludf.DUMMYFUNCTION("""COMPUTED_VALUE"""),"EUR")</f>
        <v>EUR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 t="str">
        <f>IFERROR(__xludf.DUMMYFUNCTION("""COMPUTED_VALUE"""),"82fe1060-9250-46f5-b2bb-58d19582e247")</f>
        <v>82fe1060-9250-46f5-b2bb-58d19582e247</v>
      </c>
      <c r="B456" s="3" t="str">
        <f>IFERROR(__xludf.DUMMYFUNCTION("""COMPUTED_VALUE"""),"Zaragoza")</f>
        <v>Zaragoza</v>
      </c>
      <c r="C456" s="4">
        <f>IFERROR(__xludf.DUMMYFUNCTION("""COMPUTED_VALUE"""),45670.0)</f>
        <v>45670</v>
      </c>
      <c r="D456" s="3">
        <f>IFERROR(__xludf.DUMMYFUNCTION("""COMPUTED_VALUE"""),66.0)</f>
        <v>66</v>
      </c>
      <c r="E456" s="3">
        <f>IFERROR(__xludf.DUMMYFUNCTION("""COMPUTED_VALUE"""),66198.0)</f>
        <v>66198</v>
      </c>
      <c r="F456" s="3" t="str">
        <f>IFERROR(__xludf.DUMMYFUNCTION("""COMPUTED_VALUE"""),"EUR")</f>
        <v>EUR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 t="str">
        <f>IFERROR(__xludf.DUMMYFUNCTION("""COMPUTED_VALUE"""),"b091f1fb-04c5-4496-b4a9-89a9aed03945")</f>
        <v>b091f1fb-04c5-4496-b4a9-89a9aed03945</v>
      </c>
      <c r="B457" s="3" t="str">
        <f>IFERROR(__xludf.DUMMYFUNCTION("""COMPUTED_VALUE"""),"Valencia")</f>
        <v>Valencia</v>
      </c>
      <c r="C457" s="4">
        <f>IFERROR(__xludf.DUMMYFUNCTION("""COMPUTED_VALUE"""),45670.0)</f>
        <v>45670</v>
      </c>
      <c r="D457" s="3">
        <f>IFERROR(__xludf.DUMMYFUNCTION("""COMPUTED_VALUE"""),55.0)</f>
        <v>55</v>
      </c>
      <c r="E457" s="3">
        <f>IFERROR(__xludf.DUMMYFUNCTION("""COMPUTED_VALUE"""),46200.0)</f>
        <v>46200</v>
      </c>
      <c r="F457" s="3" t="str">
        <f>IFERROR(__xludf.DUMMYFUNCTION("""COMPUTED_VALUE"""),"EUR")</f>
        <v>EUR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 t="str">
        <f>IFERROR(__xludf.DUMMYFUNCTION("""COMPUTED_VALUE"""),"ab891a29-1aa7-419d-898b-0a4531cd071a")</f>
        <v>ab891a29-1aa7-419d-898b-0a4531cd071a</v>
      </c>
      <c r="B458" s="3" t="str">
        <f>IFERROR(__xludf.DUMMYFUNCTION("""COMPUTED_VALUE"""),"Madrid")</f>
        <v>Madrid</v>
      </c>
      <c r="C458" s="4">
        <f>IFERROR(__xludf.DUMMYFUNCTION("""COMPUTED_VALUE"""),45677.0)</f>
        <v>45677</v>
      </c>
      <c r="D458" s="3">
        <f>IFERROR(__xludf.DUMMYFUNCTION("""COMPUTED_VALUE"""),54.0)</f>
        <v>54</v>
      </c>
      <c r="E458" s="3">
        <f>IFERROR(__xludf.DUMMYFUNCTION("""COMPUTED_VALUE"""),38178.0)</f>
        <v>38178</v>
      </c>
      <c r="F458" s="3" t="str">
        <f>IFERROR(__xludf.DUMMYFUNCTION("""COMPUTED_VALUE"""),"EUR")</f>
        <v>EUR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 t="str">
        <f>IFERROR(__xludf.DUMMYFUNCTION("""COMPUTED_VALUE"""),"79a4c14d-c350-464f-9f18-ee9e0aacf663")</f>
        <v>79a4c14d-c350-464f-9f18-ee9e0aacf663</v>
      </c>
      <c r="B459" s="3" t="str">
        <f>IFERROR(__xludf.DUMMYFUNCTION("""COMPUTED_VALUE"""),"Zaragoza")</f>
        <v>Zaragoza</v>
      </c>
      <c r="C459" s="4">
        <f>IFERROR(__xludf.DUMMYFUNCTION("""COMPUTED_VALUE"""),45677.0)</f>
        <v>45677</v>
      </c>
      <c r="D459" s="3">
        <f>IFERROR(__xludf.DUMMYFUNCTION("""COMPUTED_VALUE"""),58.0)</f>
        <v>58</v>
      </c>
      <c r="E459" s="3">
        <f>IFERROR(__xludf.DUMMYFUNCTION("""COMPUTED_VALUE"""),48836.0)</f>
        <v>48836</v>
      </c>
      <c r="F459" s="3" t="str">
        <f>IFERROR(__xludf.DUMMYFUNCTION("""COMPUTED_VALUE"""),"EUR")</f>
        <v>EUR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 t="str">
        <f>IFERROR(__xludf.DUMMYFUNCTION("""COMPUTED_VALUE"""),"31bba2e7-d1fe-41cd-be5c-e3636a0667d9")</f>
        <v>31bba2e7-d1fe-41cd-be5c-e3636a0667d9</v>
      </c>
      <c r="B460" s="3" t="str">
        <f>IFERROR(__xludf.DUMMYFUNCTION("""COMPUTED_VALUE"""),"Barcelona")</f>
        <v>Barcelona</v>
      </c>
      <c r="C460" s="4">
        <f>IFERROR(__xludf.DUMMYFUNCTION("""COMPUTED_VALUE"""),45677.0)</f>
        <v>45677</v>
      </c>
      <c r="D460" s="3">
        <f>IFERROR(__xludf.DUMMYFUNCTION("""COMPUTED_VALUE"""),61.0)</f>
        <v>61</v>
      </c>
      <c r="E460" s="3">
        <f>IFERROR(__xludf.DUMMYFUNCTION("""COMPUTED_VALUE"""),55327.0)</f>
        <v>55327</v>
      </c>
      <c r="F460" s="3" t="str">
        <f>IFERROR(__xludf.DUMMYFUNCTION("""COMPUTED_VALUE"""),"EUR")</f>
        <v>EUR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 t="str">
        <f>IFERROR(__xludf.DUMMYFUNCTION("""COMPUTED_VALUE"""),"661caff1-c5b1-4de3-9083-ca0d09602918")</f>
        <v>661caff1-c5b1-4de3-9083-ca0d09602918</v>
      </c>
      <c r="B461" s="3" t="str">
        <f>IFERROR(__xludf.DUMMYFUNCTION("""COMPUTED_VALUE"""),"Madrid")</f>
        <v>Madrid</v>
      </c>
      <c r="C461" s="4">
        <f>IFERROR(__xludf.DUMMYFUNCTION("""COMPUTED_VALUE"""),45677.0)</f>
        <v>45677</v>
      </c>
      <c r="D461" s="3">
        <f>IFERROR(__xludf.DUMMYFUNCTION("""COMPUTED_VALUE"""),60.0)</f>
        <v>60</v>
      </c>
      <c r="E461" s="3">
        <f>IFERROR(__xludf.DUMMYFUNCTION("""COMPUTED_VALUE"""),44700.0)</f>
        <v>44700</v>
      </c>
      <c r="F461" s="3" t="str">
        <f>IFERROR(__xludf.DUMMYFUNCTION("""COMPUTED_VALUE"""),"EUR")</f>
        <v>EUR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 t="str">
        <f>IFERROR(__xludf.DUMMYFUNCTION("""COMPUTED_VALUE"""),"bbe28a33-5f8c-4592-b86d-d94518ce9138")</f>
        <v>bbe28a33-5f8c-4592-b86d-d94518ce9138</v>
      </c>
      <c r="B462" s="3" t="str">
        <f>IFERROR(__xludf.DUMMYFUNCTION("""COMPUTED_VALUE"""),"Alicante")</f>
        <v>Alicante</v>
      </c>
      <c r="C462" s="4">
        <f>IFERROR(__xludf.DUMMYFUNCTION("""COMPUTED_VALUE"""),45677.0)</f>
        <v>45677</v>
      </c>
      <c r="D462" s="3">
        <f>IFERROR(__xludf.DUMMYFUNCTION("""COMPUTED_VALUE"""),53.0)</f>
        <v>53</v>
      </c>
      <c r="E462" s="3">
        <f>IFERROR(__xludf.DUMMYFUNCTION("""COMPUTED_VALUE"""),41340.0)</f>
        <v>41340</v>
      </c>
      <c r="F462" s="3" t="str">
        <f>IFERROR(__xludf.DUMMYFUNCTION("""COMPUTED_VALUE"""),"EUR")</f>
        <v>EUR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 t="str">
        <f>IFERROR(__xludf.DUMMYFUNCTION("""COMPUTED_VALUE"""),"d9b80ba0-26fa-4c4a-9bc7-9b0e615ca42a")</f>
        <v>d9b80ba0-26fa-4c4a-9bc7-9b0e615ca42a</v>
      </c>
      <c r="B463" s="3" t="str">
        <f>IFERROR(__xludf.DUMMYFUNCTION("""COMPUTED_VALUE"""),"Seville")</f>
        <v>Seville</v>
      </c>
      <c r="C463" s="4">
        <f>IFERROR(__xludf.DUMMYFUNCTION("""COMPUTED_VALUE"""),45677.0)</f>
        <v>45677</v>
      </c>
      <c r="D463" s="3">
        <f>IFERROR(__xludf.DUMMYFUNCTION("""COMPUTED_VALUE"""),58.0)</f>
        <v>58</v>
      </c>
      <c r="E463" s="3">
        <f>IFERROR(__xludf.DUMMYFUNCTION("""COMPUTED_VALUE"""),51968.0)</f>
        <v>51968</v>
      </c>
      <c r="F463" s="3" t="str">
        <f>IFERROR(__xludf.DUMMYFUNCTION("""COMPUTED_VALUE"""),"EUR")</f>
        <v>EUR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 t="str">
        <f>IFERROR(__xludf.DUMMYFUNCTION("""COMPUTED_VALUE"""),"2c9457d3-85d4-4eaa-9636-fcecd2c9920b")</f>
        <v>2c9457d3-85d4-4eaa-9636-fcecd2c9920b</v>
      </c>
      <c r="B464" s="3" t="str">
        <f>IFERROR(__xludf.DUMMYFUNCTION("""COMPUTED_VALUE"""),"Alicante")</f>
        <v>Alicante</v>
      </c>
      <c r="C464" s="4">
        <f>IFERROR(__xludf.DUMMYFUNCTION("""COMPUTED_VALUE"""),45677.0)</f>
        <v>45677</v>
      </c>
      <c r="D464" s="3">
        <f>IFERROR(__xludf.DUMMYFUNCTION("""COMPUTED_VALUE"""),67.0)</f>
        <v>67</v>
      </c>
      <c r="E464" s="3">
        <f>IFERROR(__xludf.DUMMYFUNCTION("""COMPUTED_VALUE"""),66732.0)</f>
        <v>66732</v>
      </c>
      <c r="F464" s="3" t="str">
        <f>IFERROR(__xludf.DUMMYFUNCTION("""COMPUTED_VALUE"""),"EUR")</f>
        <v>EUR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 t="str">
        <f>IFERROR(__xludf.DUMMYFUNCTION("""COMPUTED_VALUE"""),"b94134e5-0461-4c44-8546-4ffc413d3f98")</f>
        <v>b94134e5-0461-4c44-8546-4ffc413d3f98</v>
      </c>
      <c r="B465" s="3" t="str">
        <f>IFERROR(__xludf.DUMMYFUNCTION("""COMPUTED_VALUE"""),"Seville")</f>
        <v>Seville</v>
      </c>
      <c r="C465" s="4">
        <f>IFERROR(__xludf.DUMMYFUNCTION("""COMPUTED_VALUE"""),45677.0)</f>
        <v>45677</v>
      </c>
      <c r="D465" s="3">
        <f>IFERROR(__xludf.DUMMYFUNCTION("""COMPUTED_VALUE"""),63.0)</f>
        <v>63</v>
      </c>
      <c r="E465" s="3">
        <f>IFERROR(__xludf.DUMMYFUNCTION("""COMPUTED_VALUE"""),59976.0)</f>
        <v>59976</v>
      </c>
      <c r="F465" s="3" t="str">
        <f>IFERROR(__xludf.DUMMYFUNCTION("""COMPUTED_VALUE"""),"EUR")</f>
        <v>EUR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 t="str">
        <f>IFERROR(__xludf.DUMMYFUNCTION("""COMPUTED_VALUE"""),"b16c4ae9-e07c-4878-b99d-b381214e2c4f")</f>
        <v>b16c4ae9-e07c-4878-b99d-b381214e2c4f</v>
      </c>
      <c r="B466" s="3" t="str">
        <f>IFERROR(__xludf.DUMMYFUNCTION("""COMPUTED_VALUE"""),"Madrid")</f>
        <v>Madrid</v>
      </c>
      <c r="C466" s="4">
        <f>IFERROR(__xludf.DUMMYFUNCTION("""COMPUTED_VALUE"""),45677.0)</f>
        <v>45677</v>
      </c>
      <c r="D466" s="3">
        <f>IFERROR(__xludf.DUMMYFUNCTION("""COMPUTED_VALUE"""),55.0)</f>
        <v>55</v>
      </c>
      <c r="E466" s="3">
        <f>IFERROR(__xludf.DUMMYFUNCTION("""COMPUTED_VALUE"""),38995.0)</f>
        <v>38995</v>
      </c>
      <c r="F466" s="3" t="str">
        <f>IFERROR(__xludf.DUMMYFUNCTION("""COMPUTED_VALUE"""),"EUR")</f>
        <v>EUR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 t="str">
        <f>IFERROR(__xludf.DUMMYFUNCTION("""COMPUTED_VALUE"""),"4933f5ce-8c6e-4774-ba1c-45f12cdd504b")</f>
        <v>4933f5ce-8c6e-4774-ba1c-45f12cdd504b</v>
      </c>
      <c r="B467" s="3" t="str">
        <f>IFERROR(__xludf.DUMMYFUNCTION("""COMPUTED_VALUE"""),"Madrid")</f>
        <v>Madrid</v>
      </c>
      <c r="C467" s="4">
        <f>IFERROR(__xludf.DUMMYFUNCTION("""COMPUTED_VALUE"""),45677.0)</f>
        <v>45677</v>
      </c>
      <c r="D467" s="3">
        <f>IFERROR(__xludf.DUMMYFUNCTION("""COMPUTED_VALUE"""),61.0)</f>
        <v>61</v>
      </c>
      <c r="E467" s="3">
        <f>IFERROR(__xludf.DUMMYFUNCTION("""COMPUTED_VALUE"""),55815.0)</f>
        <v>55815</v>
      </c>
      <c r="F467" s="3" t="str">
        <f>IFERROR(__xludf.DUMMYFUNCTION("""COMPUTED_VALUE"""),"EUR")</f>
        <v>EUR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 t="str">
        <f>IFERROR(__xludf.DUMMYFUNCTION("""COMPUTED_VALUE"""),"7ae299a0-47b9-431e-9d07-df2029dee59d")</f>
        <v>7ae299a0-47b9-431e-9d07-df2029dee59d</v>
      </c>
      <c r="B468" s="3" t="str">
        <f>IFERROR(__xludf.DUMMYFUNCTION("""COMPUTED_VALUE"""),"Barcelona")</f>
        <v>Barcelona</v>
      </c>
      <c r="C468" s="4">
        <f>IFERROR(__xludf.DUMMYFUNCTION("""COMPUTED_VALUE"""),45677.0)</f>
        <v>45677</v>
      </c>
      <c r="D468" s="3">
        <f>IFERROR(__xludf.DUMMYFUNCTION("""COMPUTED_VALUE"""),59.0)</f>
        <v>59</v>
      </c>
      <c r="E468" s="3">
        <f>IFERROR(__xludf.DUMMYFUNCTION("""COMPUTED_VALUE"""),48144.0)</f>
        <v>48144</v>
      </c>
      <c r="F468" s="3" t="str">
        <f>IFERROR(__xludf.DUMMYFUNCTION("""COMPUTED_VALUE"""),"EUR")</f>
        <v>EUR</v>
      </c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 t="str">
        <f>IFERROR(__xludf.DUMMYFUNCTION("""COMPUTED_VALUE"""),"5481e7d1-64c0-41ae-97ec-cf703b223a0c")</f>
        <v>5481e7d1-64c0-41ae-97ec-cf703b223a0c</v>
      </c>
      <c r="B469" s="3" t="str">
        <f>IFERROR(__xludf.DUMMYFUNCTION("""COMPUTED_VALUE"""),"Alicante")</f>
        <v>Alicante</v>
      </c>
      <c r="C469" s="4">
        <f>IFERROR(__xludf.DUMMYFUNCTION("""COMPUTED_VALUE"""),45677.0)</f>
        <v>45677</v>
      </c>
      <c r="D469" s="3">
        <f>IFERROR(__xludf.DUMMYFUNCTION("""COMPUTED_VALUE"""),52.0)</f>
        <v>52</v>
      </c>
      <c r="E469" s="3">
        <f>IFERROR(__xludf.DUMMYFUNCTION("""COMPUTED_VALUE"""),38272.0)</f>
        <v>38272</v>
      </c>
      <c r="F469" s="3" t="str">
        <f>IFERROR(__xludf.DUMMYFUNCTION("""COMPUTED_VALUE"""),"EUR")</f>
        <v>EUR</v>
      </c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 t="str">
        <f>IFERROR(__xludf.DUMMYFUNCTION("""COMPUTED_VALUE"""),"2a43dd5f-493d-4ce3-b5a9-5d4f5ae7f049")</f>
        <v>2a43dd5f-493d-4ce3-b5a9-5d4f5ae7f049</v>
      </c>
      <c r="B470" s="3" t="str">
        <f>IFERROR(__xludf.DUMMYFUNCTION("""COMPUTED_VALUE"""),"Barcelona")</f>
        <v>Barcelona</v>
      </c>
      <c r="C470" s="4">
        <f>IFERROR(__xludf.DUMMYFUNCTION("""COMPUTED_VALUE"""),45677.0)</f>
        <v>45677</v>
      </c>
      <c r="D470" s="3">
        <f>IFERROR(__xludf.DUMMYFUNCTION("""COMPUTED_VALUE"""),64.0)</f>
        <v>64</v>
      </c>
      <c r="E470" s="3">
        <f>IFERROR(__xludf.DUMMYFUNCTION("""COMPUTED_VALUE"""),60928.0)</f>
        <v>60928</v>
      </c>
      <c r="F470" s="3" t="str">
        <f>IFERROR(__xludf.DUMMYFUNCTION("""COMPUTED_VALUE"""),"EUR")</f>
        <v>EUR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 t="str">
        <f>IFERROR(__xludf.DUMMYFUNCTION("""COMPUTED_VALUE"""),"e5aa4400-ca94-40c4-a26e-5826fdf56e62")</f>
        <v>e5aa4400-ca94-40c4-a26e-5826fdf56e62</v>
      </c>
      <c r="B471" s="3" t="str">
        <f>IFERROR(__xludf.DUMMYFUNCTION("""COMPUTED_VALUE"""),"Alicante")</f>
        <v>Alicante</v>
      </c>
      <c r="C471" s="4">
        <f>IFERROR(__xludf.DUMMYFUNCTION("""COMPUTED_VALUE"""),45677.0)</f>
        <v>45677</v>
      </c>
      <c r="D471" s="3">
        <f>IFERROR(__xludf.DUMMYFUNCTION("""COMPUTED_VALUE"""),70.0)</f>
        <v>70</v>
      </c>
      <c r="E471" s="3">
        <f>IFERROR(__xludf.DUMMYFUNCTION("""COMPUTED_VALUE"""),65170.0)</f>
        <v>65170</v>
      </c>
      <c r="F471" s="3" t="str">
        <f>IFERROR(__xludf.DUMMYFUNCTION("""COMPUTED_VALUE"""),"EUR")</f>
        <v>EUR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 t="str">
        <f>IFERROR(__xludf.DUMMYFUNCTION("""COMPUTED_VALUE"""),"468dcecf-a3e1-47b0-9c3e-2a9d00f5e7cf")</f>
        <v>468dcecf-a3e1-47b0-9c3e-2a9d00f5e7cf</v>
      </c>
      <c r="B472" s="3" t="str">
        <f>IFERROR(__xludf.DUMMYFUNCTION("""COMPUTED_VALUE"""),"Madrid")</f>
        <v>Madrid</v>
      </c>
      <c r="C472" s="4">
        <f>IFERROR(__xludf.DUMMYFUNCTION("""COMPUTED_VALUE"""),45677.0)</f>
        <v>45677</v>
      </c>
      <c r="D472" s="3">
        <f>IFERROR(__xludf.DUMMYFUNCTION("""COMPUTED_VALUE"""),52.0)</f>
        <v>52</v>
      </c>
      <c r="E472" s="3">
        <f>IFERROR(__xludf.DUMMYFUNCTION("""COMPUTED_VALUE"""),43732.0)</f>
        <v>43732</v>
      </c>
      <c r="F472" s="3" t="str">
        <f>IFERROR(__xludf.DUMMYFUNCTION("""COMPUTED_VALUE"""),"EUR")</f>
        <v>EUR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 t="str">
        <f>IFERROR(__xludf.DUMMYFUNCTION("""COMPUTED_VALUE"""),"6d1ecd55-5d28-4120-ae4a-fe49ad773625")</f>
        <v>6d1ecd55-5d28-4120-ae4a-fe49ad773625</v>
      </c>
      <c r="B473" s="3" t="str">
        <f>IFERROR(__xludf.DUMMYFUNCTION("""COMPUTED_VALUE"""),"Barcelona")</f>
        <v>Barcelona</v>
      </c>
      <c r="C473" s="4">
        <f>IFERROR(__xludf.DUMMYFUNCTION("""COMPUTED_VALUE"""),45677.0)</f>
        <v>45677</v>
      </c>
      <c r="D473" s="3">
        <f>IFERROR(__xludf.DUMMYFUNCTION("""COMPUTED_VALUE"""),63.0)</f>
        <v>63</v>
      </c>
      <c r="E473" s="3">
        <f>IFERROR(__xludf.DUMMYFUNCTION("""COMPUTED_VALUE"""),59724.0)</f>
        <v>59724</v>
      </c>
      <c r="F473" s="3" t="str">
        <f>IFERROR(__xludf.DUMMYFUNCTION("""COMPUTED_VALUE"""),"EUR")</f>
        <v>EUR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 t="str">
        <f>IFERROR(__xludf.DUMMYFUNCTION("""COMPUTED_VALUE"""),"73b755fd-77e8-488c-a975-b258235880ab")</f>
        <v>73b755fd-77e8-488c-a975-b258235880ab</v>
      </c>
      <c r="B474" s="3" t="str">
        <f>IFERROR(__xludf.DUMMYFUNCTION("""COMPUTED_VALUE"""),"Barcelona")</f>
        <v>Barcelona</v>
      </c>
      <c r="C474" s="4">
        <f>IFERROR(__xludf.DUMMYFUNCTION("""COMPUTED_VALUE"""),45677.0)</f>
        <v>45677</v>
      </c>
      <c r="D474" s="3">
        <f>IFERROR(__xludf.DUMMYFUNCTION("""COMPUTED_VALUE"""),58.0)</f>
        <v>58</v>
      </c>
      <c r="E474" s="3">
        <f>IFERROR(__xludf.DUMMYFUNCTION("""COMPUTED_VALUE"""),41818.0)</f>
        <v>41818</v>
      </c>
      <c r="F474" s="3" t="str">
        <f>IFERROR(__xludf.DUMMYFUNCTION("""COMPUTED_VALUE"""),"EUR")</f>
        <v>EUR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 t="str">
        <f>IFERROR(__xludf.DUMMYFUNCTION("""COMPUTED_VALUE"""),"a5891e66-f7dd-435c-87b7-74aed3f05510")</f>
        <v>a5891e66-f7dd-435c-87b7-74aed3f05510</v>
      </c>
      <c r="B475" s="3" t="str">
        <f>IFERROR(__xludf.DUMMYFUNCTION("""COMPUTED_VALUE"""),"Alicante")</f>
        <v>Alicante</v>
      </c>
      <c r="C475" s="4">
        <f>IFERROR(__xludf.DUMMYFUNCTION("""COMPUTED_VALUE"""),45677.0)</f>
        <v>45677</v>
      </c>
      <c r="D475" s="3">
        <f>IFERROR(__xludf.DUMMYFUNCTION("""COMPUTED_VALUE"""),52.0)</f>
        <v>52</v>
      </c>
      <c r="E475" s="3">
        <f>IFERROR(__xludf.DUMMYFUNCTION("""COMPUTED_VALUE"""),41444.0)</f>
        <v>41444</v>
      </c>
      <c r="F475" s="3" t="str">
        <f>IFERROR(__xludf.DUMMYFUNCTION("""COMPUTED_VALUE"""),"EUR")</f>
        <v>EUR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 t="str">
        <f>IFERROR(__xludf.DUMMYFUNCTION("""COMPUTED_VALUE"""),"c3365fce-999f-4f1c-9ee9-ee10f65183f4")</f>
        <v>c3365fce-999f-4f1c-9ee9-ee10f65183f4</v>
      </c>
      <c r="B476" s="3" t="str">
        <f>IFERROR(__xludf.DUMMYFUNCTION("""COMPUTED_VALUE"""),"Seville")</f>
        <v>Seville</v>
      </c>
      <c r="C476" s="4">
        <f>IFERROR(__xludf.DUMMYFUNCTION("""COMPUTED_VALUE"""),45677.0)</f>
        <v>45677</v>
      </c>
      <c r="D476" s="3">
        <f>IFERROR(__xludf.DUMMYFUNCTION("""COMPUTED_VALUE"""),52.0)</f>
        <v>52</v>
      </c>
      <c r="E476" s="3">
        <f>IFERROR(__xludf.DUMMYFUNCTION("""COMPUTED_VALUE"""),37804.0)</f>
        <v>37804</v>
      </c>
      <c r="F476" s="3" t="str">
        <f>IFERROR(__xludf.DUMMYFUNCTION("""COMPUTED_VALUE"""),"EUR")</f>
        <v>EUR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 t="str">
        <f>IFERROR(__xludf.DUMMYFUNCTION("""COMPUTED_VALUE"""),"3bcc7e99-bf74-43f5-baea-e8734c661ea5")</f>
        <v>3bcc7e99-bf74-43f5-baea-e8734c661ea5</v>
      </c>
      <c r="B477" s="3" t="str">
        <f>IFERROR(__xludf.DUMMYFUNCTION("""COMPUTED_VALUE"""),"Barcelona")</f>
        <v>Barcelona</v>
      </c>
      <c r="C477" s="4">
        <f>IFERROR(__xludf.DUMMYFUNCTION("""COMPUTED_VALUE"""),45677.0)</f>
        <v>45677</v>
      </c>
      <c r="D477" s="3">
        <f>IFERROR(__xludf.DUMMYFUNCTION("""COMPUTED_VALUE"""),63.0)</f>
        <v>63</v>
      </c>
      <c r="E477" s="3">
        <f>IFERROR(__xludf.DUMMYFUNCTION("""COMPUTED_VALUE"""),60165.0)</f>
        <v>60165</v>
      </c>
      <c r="F477" s="3" t="str">
        <f>IFERROR(__xludf.DUMMYFUNCTION("""COMPUTED_VALUE"""),"EUR")</f>
        <v>EUR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 t="str">
        <f>IFERROR(__xludf.DUMMYFUNCTION("""COMPUTED_VALUE"""),"21c4491a-386a-4ffd-909f-32c14701fdc1")</f>
        <v>21c4491a-386a-4ffd-909f-32c14701fdc1</v>
      </c>
      <c r="B478" s="3" t="str">
        <f>IFERROR(__xludf.DUMMYFUNCTION("""COMPUTED_VALUE"""),"Valencia")</f>
        <v>Valencia</v>
      </c>
      <c r="C478" s="4">
        <f>IFERROR(__xludf.DUMMYFUNCTION("""COMPUTED_VALUE"""),45677.0)</f>
        <v>45677</v>
      </c>
      <c r="D478" s="3">
        <f>IFERROR(__xludf.DUMMYFUNCTION("""COMPUTED_VALUE"""),55.0)</f>
        <v>55</v>
      </c>
      <c r="E478" s="3">
        <f>IFERROR(__xludf.DUMMYFUNCTION("""COMPUTED_VALUE"""),47960.0)</f>
        <v>47960</v>
      </c>
      <c r="F478" s="3" t="str">
        <f>IFERROR(__xludf.DUMMYFUNCTION("""COMPUTED_VALUE"""),"EUR")</f>
        <v>EUR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 t="str">
        <f>IFERROR(__xludf.DUMMYFUNCTION("""COMPUTED_VALUE"""),"2af74ac1-35af-4797-a9fa-9ae688180ba1")</f>
        <v>2af74ac1-35af-4797-a9fa-9ae688180ba1</v>
      </c>
      <c r="B479" s="3" t="str">
        <f>IFERROR(__xludf.DUMMYFUNCTION("""COMPUTED_VALUE"""),"Valencia")</f>
        <v>Valencia</v>
      </c>
      <c r="C479" s="4">
        <f>IFERROR(__xludf.DUMMYFUNCTION("""COMPUTED_VALUE"""),45677.0)</f>
        <v>45677</v>
      </c>
      <c r="D479" s="3">
        <f>IFERROR(__xludf.DUMMYFUNCTION("""COMPUTED_VALUE"""),65.0)</f>
        <v>65</v>
      </c>
      <c r="E479" s="3">
        <f>IFERROR(__xludf.DUMMYFUNCTION("""COMPUTED_VALUE"""),62660.0)</f>
        <v>62660</v>
      </c>
      <c r="F479" s="3" t="str">
        <f>IFERROR(__xludf.DUMMYFUNCTION("""COMPUTED_VALUE"""),"EUR")</f>
        <v>EUR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 t="str">
        <f>IFERROR(__xludf.DUMMYFUNCTION("""COMPUTED_VALUE"""),"879b3fc5-9c0b-4661-afd4-8b96b1d2b38f")</f>
        <v>879b3fc5-9c0b-4661-afd4-8b96b1d2b38f</v>
      </c>
      <c r="B480" s="3" t="str">
        <f>IFERROR(__xludf.DUMMYFUNCTION("""COMPUTED_VALUE"""),"Alicante")</f>
        <v>Alicante</v>
      </c>
      <c r="C480" s="4">
        <f>IFERROR(__xludf.DUMMYFUNCTION("""COMPUTED_VALUE"""),45677.0)</f>
        <v>45677</v>
      </c>
      <c r="D480" s="3">
        <f>IFERROR(__xludf.DUMMYFUNCTION("""COMPUTED_VALUE"""),55.0)</f>
        <v>55</v>
      </c>
      <c r="E480" s="3">
        <f>IFERROR(__xludf.DUMMYFUNCTION("""COMPUTED_VALUE"""),39765.0)</f>
        <v>39765</v>
      </c>
      <c r="F480" s="3" t="str">
        <f>IFERROR(__xludf.DUMMYFUNCTION("""COMPUTED_VALUE"""),"EUR")</f>
        <v>EUR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 t="str">
        <f>IFERROR(__xludf.DUMMYFUNCTION("""COMPUTED_VALUE"""),"08764762-0a2f-4f4e-b3e6-6067d3c70d7a")</f>
        <v>08764762-0a2f-4f4e-b3e6-6067d3c70d7a</v>
      </c>
      <c r="B481" s="3" t="str">
        <f>IFERROR(__xludf.DUMMYFUNCTION("""COMPUTED_VALUE"""),"Alicante")</f>
        <v>Alicante</v>
      </c>
      <c r="C481" s="4">
        <f>IFERROR(__xludf.DUMMYFUNCTION("""COMPUTED_VALUE"""),45677.0)</f>
        <v>45677</v>
      </c>
      <c r="D481" s="3">
        <f>IFERROR(__xludf.DUMMYFUNCTION("""COMPUTED_VALUE"""),64.0)</f>
        <v>64</v>
      </c>
      <c r="E481" s="3">
        <f>IFERROR(__xludf.DUMMYFUNCTION("""COMPUTED_VALUE"""),66624.0)</f>
        <v>66624</v>
      </c>
      <c r="F481" s="3" t="str">
        <f>IFERROR(__xludf.DUMMYFUNCTION("""COMPUTED_VALUE"""),"EUR")</f>
        <v>EUR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 t="str">
        <f>IFERROR(__xludf.DUMMYFUNCTION("""COMPUTED_VALUE"""),"4bc412af-1c45-4bb8-b79d-be831b1b65f5")</f>
        <v>4bc412af-1c45-4bb8-b79d-be831b1b65f5</v>
      </c>
      <c r="B482" s="3" t="str">
        <f>IFERROR(__xludf.DUMMYFUNCTION("""COMPUTED_VALUE"""),"Seville")</f>
        <v>Seville</v>
      </c>
      <c r="C482" s="4">
        <f>IFERROR(__xludf.DUMMYFUNCTION("""COMPUTED_VALUE"""),45677.0)</f>
        <v>45677</v>
      </c>
      <c r="D482" s="3">
        <f>IFERROR(__xludf.DUMMYFUNCTION("""COMPUTED_VALUE"""),66.0)</f>
        <v>66</v>
      </c>
      <c r="E482" s="3">
        <f>IFERROR(__xludf.DUMMYFUNCTION("""COMPUTED_VALUE"""),60060.0)</f>
        <v>60060</v>
      </c>
      <c r="F482" s="3" t="str">
        <f>IFERROR(__xludf.DUMMYFUNCTION("""COMPUTED_VALUE"""),"EUR")</f>
        <v>EUR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 t="str">
        <f>IFERROR(__xludf.DUMMYFUNCTION("""COMPUTED_VALUE"""),"cc69f56c-d4f1-4853-862d-627b38446a81")</f>
        <v>cc69f56c-d4f1-4853-862d-627b38446a81</v>
      </c>
      <c r="B483" s="3" t="str">
        <f>IFERROR(__xludf.DUMMYFUNCTION("""COMPUTED_VALUE"""),"Zaragoza")</f>
        <v>Zaragoza</v>
      </c>
      <c r="C483" s="4">
        <f>IFERROR(__xludf.DUMMYFUNCTION("""COMPUTED_VALUE"""),45677.0)</f>
        <v>45677</v>
      </c>
      <c r="D483" s="3">
        <f>IFERROR(__xludf.DUMMYFUNCTION("""COMPUTED_VALUE"""),51.0)</f>
        <v>51</v>
      </c>
      <c r="E483" s="3">
        <f>IFERROR(__xludf.DUMMYFUNCTION("""COMPUTED_VALUE"""),37587.0)</f>
        <v>37587</v>
      </c>
      <c r="F483" s="3" t="str">
        <f>IFERROR(__xludf.DUMMYFUNCTION("""COMPUTED_VALUE"""),"EUR")</f>
        <v>EUR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 t="str">
        <f>IFERROR(__xludf.DUMMYFUNCTION("""COMPUTED_VALUE"""),"5444739b-f358-46a1-9355-3671cbaa2dea")</f>
        <v>5444739b-f358-46a1-9355-3671cbaa2dea</v>
      </c>
      <c r="B484" s="3" t="str">
        <f>IFERROR(__xludf.DUMMYFUNCTION("""COMPUTED_VALUE"""),"Barcelona")</f>
        <v>Barcelona</v>
      </c>
      <c r="C484" s="4">
        <f>IFERROR(__xludf.DUMMYFUNCTION("""COMPUTED_VALUE"""),45684.0)</f>
        <v>45684</v>
      </c>
      <c r="D484" s="3">
        <f>IFERROR(__xludf.DUMMYFUNCTION("""COMPUTED_VALUE"""),58.0)</f>
        <v>58</v>
      </c>
      <c r="E484" s="3">
        <f>IFERROR(__xludf.DUMMYFUNCTION("""COMPUTED_VALUE"""),43268.0)</f>
        <v>43268</v>
      </c>
      <c r="F484" s="3" t="str">
        <f>IFERROR(__xludf.DUMMYFUNCTION("""COMPUTED_VALUE"""),"EUR")</f>
        <v>EUR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 t="str">
        <f>IFERROR(__xludf.DUMMYFUNCTION("""COMPUTED_VALUE"""),"ab891a29-1aa7-419d-898b-0a4531cd071a")</f>
        <v>ab891a29-1aa7-419d-898b-0a4531cd071a</v>
      </c>
      <c r="B485" s="3" t="str">
        <f>IFERROR(__xludf.DUMMYFUNCTION("""COMPUTED_VALUE"""),"Madrid")</f>
        <v>Madrid</v>
      </c>
      <c r="C485" s="4">
        <f>IFERROR(__xludf.DUMMYFUNCTION("""COMPUTED_VALUE"""),45684.0)</f>
        <v>45684</v>
      </c>
      <c r="D485" s="3">
        <f>IFERROR(__xludf.DUMMYFUNCTION("""COMPUTED_VALUE"""),53.0)</f>
        <v>53</v>
      </c>
      <c r="E485" s="3">
        <f>IFERROR(__xludf.DUMMYFUNCTION("""COMPUTED_VALUE"""),42506.0)</f>
        <v>42506</v>
      </c>
      <c r="F485" s="3" t="str">
        <f>IFERROR(__xludf.DUMMYFUNCTION("""COMPUTED_VALUE"""),"EUR")</f>
        <v>EUR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 t="str">
        <f>IFERROR(__xludf.DUMMYFUNCTION("""COMPUTED_VALUE"""),"618db574-ae17-4e35-b8ed-e9b4436ba01c")</f>
        <v>618db574-ae17-4e35-b8ed-e9b4436ba01c</v>
      </c>
      <c r="B486" s="3" t="str">
        <f>IFERROR(__xludf.DUMMYFUNCTION("""COMPUTED_VALUE"""),"Barcelona")</f>
        <v>Barcelona</v>
      </c>
      <c r="C486" s="4">
        <f>IFERROR(__xludf.DUMMYFUNCTION("""COMPUTED_VALUE"""),45684.0)</f>
        <v>45684</v>
      </c>
      <c r="D486" s="3">
        <f>IFERROR(__xludf.DUMMYFUNCTION("""COMPUTED_VALUE"""),69.0)</f>
        <v>69</v>
      </c>
      <c r="E486" s="3">
        <f>IFERROR(__xludf.DUMMYFUNCTION("""COMPUTED_VALUE"""),69000.0)</f>
        <v>69000</v>
      </c>
      <c r="F486" s="3" t="str">
        <f>IFERROR(__xludf.DUMMYFUNCTION("""COMPUTED_VALUE"""),"EUR")</f>
        <v>EUR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 t="str">
        <f>IFERROR(__xludf.DUMMYFUNCTION("""COMPUTED_VALUE"""),"79a4c14d-c350-464f-9f18-ee9e0aacf663")</f>
        <v>79a4c14d-c350-464f-9f18-ee9e0aacf663</v>
      </c>
      <c r="B487" s="3" t="str">
        <f>IFERROR(__xludf.DUMMYFUNCTION("""COMPUTED_VALUE"""),"Zaragoza")</f>
        <v>Zaragoza</v>
      </c>
      <c r="C487" s="4">
        <f>IFERROR(__xludf.DUMMYFUNCTION("""COMPUTED_VALUE"""),45684.0)</f>
        <v>45684</v>
      </c>
      <c r="D487" s="3">
        <f>IFERROR(__xludf.DUMMYFUNCTION("""COMPUTED_VALUE"""),70.0)</f>
        <v>70</v>
      </c>
      <c r="E487" s="3">
        <f>IFERROR(__xludf.DUMMYFUNCTION("""COMPUTED_VALUE"""),71680.0)</f>
        <v>71680</v>
      </c>
      <c r="F487" s="3" t="str">
        <f>IFERROR(__xludf.DUMMYFUNCTION("""COMPUTED_VALUE"""),"EUR")</f>
        <v>EUR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 t="str">
        <f>IFERROR(__xludf.DUMMYFUNCTION("""COMPUTED_VALUE"""),"73b755fd-77e8-488c-a975-b258235880ab")</f>
        <v>73b755fd-77e8-488c-a975-b258235880ab</v>
      </c>
      <c r="B488" s="3" t="str">
        <f>IFERROR(__xludf.DUMMYFUNCTION("""COMPUTED_VALUE"""),"Barcelona")</f>
        <v>Barcelona</v>
      </c>
      <c r="C488" s="4">
        <f>IFERROR(__xludf.DUMMYFUNCTION("""COMPUTED_VALUE"""),45684.0)</f>
        <v>45684</v>
      </c>
      <c r="D488" s="3">
        <f>IFERROR(__xludf.DUMMYFUNCTION("""COMPUTED_VALUE"""),54.0)</f>
        <v>54</v>
      </c>
      <c r="E488" s="3">
        <f>IFERROR(__xludf.DUMMYFUNCTION("""COMPUTED_VALUE"""),41634.0)</f>
        <v>41634</v>
      </c>
      <c r="F488" s="3" t="str">
        <f>IFERROR(__xludf.DUMMYFUNCTION("""COMPUTED_VALUE"""),"EUR")</f>
        <v>EUR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 t="str">
        <f>IFERROR(__xludf.DUMMYFUNCTION("""COMPUTED_VALUE"""),"a4e911d2-3629-4955-8bfc-52540f7085a7")</f>
        <v>a4e911d2-3629-4955-8bfc-52540f7085a7</v>
      </c>
      <c r="B489" s="3" t="str">
        <f>IFERROR(__xludf.DUMMYFUNCTION("""COMPUTED_VALUE"""),"Zaragoza")</f>
        <v>Zaragoza</v>
      </c>
      <c r="C489" s="4">
        <f>IFERROR(__xludf.DUMMYFUNCTION("""COMPUTED_VALUE"""),45684.0)</f>
        <v>45684</v>
      </c>
      <c r="D489" s="3">
        <f>IFERROR(__xludf.DUMMYFUNCTION("""COMPUTED_VALUE"""),69.0)</f>
        <v>69</v>
      </c>
      <c r="E489" s="3">
        <f>IFERROR(__xludf.DUMMYFUNCTION("""COMPUTED_VALUE"""),63549.0)</f>
        <v>63549</v>
      </c>
      <c r="F489" s="3" t="str">
        <f>IFERROR(__xludf.DUMMYFUNCTION("""COMPUTED_VALUE"""),"EUR")</f>
        <v>EUR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 t="str">
        <f>IFERROR(__xludf.DUMMYFUNCTION("""COMPUTED_VALUE"""),"3edbff60-5a8e-42e1-9d1d-367d0234796a")</f>
        <v>3edbff60-5a8e-42e1-9d1d-367d0234796a</v>
      </c>
      <c r="B490" s="3" t="str">
        <f>IFERROR(__xludf.DUMMYFUNCTION("""COMPUTED_VALUE"""),"Valencia")</f>
        <v>Valencia</v>
      </c>
      <c r="C490" s="4">
        <f>IFERROR(__xludf.DUMMYFUNCTION("""COMPUTED_VALUE"""),45684.0)</f>
        <v>45684</v>
      </c>
      <c r="D490" s="3">
        <f>IFERROR(__xludf.DUMMYFUNCTION("""COMPUTED_VALUE"""),69.0)</f>
        <v>69</v>
      </c>
      <c r="E490" s="3">
        <f>IFERROR(__xludf.DUMMYFUNCTION("""COMPUTED_VALUE"""),65481.0)</f>
        <v>65481</v>
      </c>
      <c r="F490" s="3" t="str">
        <f>IFERROR(__xludf.DUMMYFUNCTION("""COMPUTED_VALUE"""),"EUR")</f>
        <v>EUR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 t="str">
        <f>IFERROR(__xludf.DUMMYFUNCTION("""COMPUTED_VALUE"""),"4933f5ce-8c6e-4774-ba1c-45f12cdd504b")</f>
        <v>4933f5ce-8c6e-4774-ba1c-45f12cdd504b</v>
      </c>
      <c r="B491" s="3" t="str">
        <f>IFERROR(__xludf.DUMMYFUNCTION("""COMPUTED_VALUE"""),"Madrid")</f>
        <v>Madrid</v>
      </c>
      <c r="C491" s="4">
        <f>IFERROR(__xludf.DUMMYFUNCTION("""COMPUTED_VALUE"""),45684.0)</f>
        <v>45684</v>
      </c>
      <c r="D491" s="3">
        <f>IFERROR(__xludf.DUMMYFUNCTION("""COMPUTED_VALUE"""),66.0)</f>
        <v>66</v>
      </c>
      <c r="E491" s="3">
        <f>IFERROR(__xludf.DUMMYFUNCTION("""COMPUTED_VALUE"""),62898.0)</f>
        <v>62898</v>
      </c>
      <c r="F491" s="3" t="str">
        <f>IFERROR(__xludf.DUMMYFUNCTION("""COMPUTED_VALUE"""),"EUR")</f>
        <v>EUR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 t="str">
        <f>IFERROR(__xludf.DUMMYFUNCTION("""COMPUTED_VALUE"""),"468dcecf-a3e1-47b0-9c3e-2a9d00f5e7cf")</f>
        <v>468dcecf-a3e1-47b0-9c3e-2a9d00f5e7cf</v>
      </c>
      <c r="B492" s="3" t="str">
        <f>IFERROR(__xludf.DUMMYFUNCTION("""COMPUTED_VALUE"""),"Madrid")</f>
        <v>Madrid</v>
      </c>
      <c r="C492" s="4">
        <f>IFERROR(__xludf.DUMMYFUNCTION("""COMPUTED_VALUE"""),45684.0)</f>
        <v>45684</v>
      </c>
      <c r="D492" s="3">
        <f>IFERROR(__xludf.DUMMYFUNCTION("""COMPUTED_VALUE"""),61.0)</f>
        <v>61</v>
      </c>
      <c r="E492" s="3">
        <f>IFERROR(__xludf.DUMMYFUNCTION("""COMPUTED_VALUE"""),58621.0)</f>
        <v>58621</v>
      </c>
      <c r="F492" s="3" t="str">
        <f>IFERROR(__xludf.DUMMYFUNCTION("""COMPUTED_VALUE"""),"EUR")</f>
        <v>EUR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 t="str">
        <f>IFERROR(__xludf.DUMMYFUNCTION("""COMPUTED_VALUE"""),"c986eca7-89bd-4820-affe-d55f29d67869")</f>
        <v>c986eca7-89bd-4820-affe-d55f29d67869</v>
      </c>
      <c r="B493" s="3" t="str">
        <f>IFERROR(__xludf.DUMMYFUNCTION("""COMPUTED_VALUE"""),"Zaragoza")</f>
        <v>Zaragoza</v>
      </c>
      <c r="C493" s="4">
        <f>IFERROR(__xludf.DUMMYFUNCTION("""COMPUTED_VALUE"""),45684.0)</f>
        <v>45684</v>
      </c>
      <c r="D493" s="3">
        <f>IFERROR(__xludf.DUMMYFUNCTION("""COMPUTED_VALUE"""),56.0)</f>
        <v>56</v>
      </c>
      <c r="E493" s="3">
        <f>IFERROR(__xludf.DUMMYFUNCTION("""COMPUTED_VALUE"""),47992.0)</f>
        <v>47992</v>
      </c>
      <c r="F493" s="3" t="str">
        <f>IFERROR(__xludf.DUMMYFUNCTION("""COMPUTED_VALUE"""),"EUR")</f>
        <v>EUR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 t="str">
        <f>IFERROR(__xludf.DUMMYFUNCTION("""COMPUTED_VALUE"""),"444e12e3-12a6-4884-a6e2-1824931a66b8")</f>
        <v>444e12e3-12a6-4884-a6e2-1824931a66b8</v>
      </c>
      <c r="B494" s="3" t="str">
        <f>IFERROR(__xludf.DUMMYFUNCTION("""COMPUTED_VALUE"""),"Alicante")</f>
        <v>Alicante</v>
      </c>
      <c r="C494" s="4">
        <f>IFERROR(__xludf.DUMMYFUNCTION("""COMPUTED_VALUE"""),45684.0)</f>
        <v>45684</v>
      </c>
      <c r="D494" s="3">
        <f>IFERROR(__xludf.DUMMYFUNCTION("""COMPUTED_VALUE"""),68.0)</f>
        <v>68</v>
      </c>
      <c r="E494" s="3">
        <f>IFERROR(__xludf.DUMMYFUNCTION("""COMPUTED_VALUE"""),71060.0)</f>
        <v>71060</v>
      </c>
      <c r="F494" s="3" t="str">
        <f>IFERROR(__xludf.DUMMYFUNCTION("""COMPUTED_VALUE"""),"EUR")</f>
        <v>EUR</v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 t="str">
        <f>IFERROR(__xludf.DUMMYFUNCTION("""COMPUTED_VALUE"""),"3bcc7e99-bf74-43f5-baea-e8734c661ea5")</f>
        <v>3bcc7e99-bf74-43f5-baea-e8734c661ea5</v>
      </c>
      <c r="B495" s="3" t="str">
        <f>IFERROR(__xludf.DUMMYFUNCTION("""COMPUTED_VALUE"""),"Barcelona")</f>
        <v>Barcelona</v>
      </c>
      <c r="C495" s="4">
        <f>IFERROR(__xludf.DUMMYFUNCTION("""COMPUTED_VALUE"""),45684.0)</f>
        <v>45684</v>
      </c>
      <c r="D495" s="3">
        <f>IFERROR(__xludf.DUMMYFUNCTION("""COMPUTED_VALUE"""),51.0)</f>
        <v>51</v>
      </c>
      <c r="E495" s="3">
        <f>IFERROR(__xludf.DUMMYFUNCTION("""COMPUTED_VALUE"""),38250.0)</f>
        <v>38250</v>
      </c>
      <c r="F495" s="3" t="str">
        <f>IFERROR(__xludf.DUMMYFUNCTION("""COMPUTED_VALUE"""),"EUR")</f>
        <v>EUR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 t="str">
        <f>IFERROR(__xludf.DUMMYFUNCTION("""COMPUTED_VALUE"""),"04e9a325-07dc-4fdf-989d-96c386de8229")</f>
        <v>04e9a325-07dc-4fdf-989d-96c386de8229</v>
      </c>
      <c r="B496" s="3" t="str">
        <f>IFERROR(__xludf.DUMMYFUNCTION("""COMPUTED_VALUE"""),"Zaragoza")</f>
        <v>Zaragoza</v>
      </c>
      <c r="C496" s="4">
        <f>IFERROR(__xludf.DUMMYFUNCTION("""COMPUTED_VALUE"""),45684.0)</f>
        <v>45684</v>
      </c>
      <c r="D496" s="3">
        <f>IFERROR(__xludf.DUMMYFUNCTION("""COMPUTED_VALUE"""),60.0)</f>
        <v>60</v>
      </c>
      <c r="E496" s="3">
        <f>IFERROR(__xludf.DUMMYFUNCTION("""COMPUTED_VALUE"""),47640.0)</f>
        <v>47640</v>
      </c>
      <c r="F496" s="3" t="str">
        <f>IFERROR(__xludf.DUMMYFUNCTION("""COMPUTED_VALUE"""),"EUR")</f>
        <v>EUR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 t="str">
        <f>IFERROR(__xludf.DUMMYFUNCTION("""COMPUTED_VALUE"""),"5645c367-ee12-42c7-9488-1d56d4eb9085")</f>
        <v>5645c367-ee12-42c7-9488-1d56d4eb9085</v>
      </c>
      <c r="B497" s="3" t="str">
        <f>IFERROR(__xludf.DUMMYFUNCTION("""COMPUTED_VALUE"""),"Barcelona")</f>
        <v>Barcelona</v>
      </c>
      <c r="C497" s="4">
        <f>IFERROR(__xludf.DUMMYFUNCTION("""COMPUTED_VALUE"""),45684.0)</f>
        <v>45684</v>
      </c>
      <c r="D497" s="3">
        <f>IFERROR(__xludf.DUMMYFUNCTION("""COMPUTED_VALUE"""),53.0)</f>
        <v>53</v>
      </c>
      <c r="E497" s="3">
        <f>IFERROR(__xludf.DUMMYFUNCTION("""COMPUTED_VALUE"""),47382.0)</f>
        <v>47382</v>
      </c>
      <c r="F497" s="3" t="str">
        <f>IFERROR(__xludf.DUMMYFUNCTION("""COMPUTED_VALUE"""),"EUR")</f>
        <v>EUR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 t="str">
        <f>IFERROR(__xludf.DUMMYFUNCTION("""COMPUTED_VALUE"""),"18997335-98e0-47b3-89a5-2d1fd1515e94")</f>
        <v>18997335-98e0-47b3-89a5-2d1fd1515e94</v>
      </c>
      <c r="B498" s="3" t="str">
        <f>IFERROR(__xludf.DUMMYFUNCTION("""COMPUTED_VALUE"""),"Alicante")</f>
        <v>Alicante</v>
      </c>
      <c r="C498" s="4">
        <f>IFERROR(__xludf.DUMMYFUNCTION("""COMPUTED_VALUE"""),45684.0)</f>
        <v>45684</v>
      </c>
      <c r="D498" s="3">
        <f>IFERROR(__xludf.DUMMYFUNCTION("""COMPUTED_VALUE"""),57.0)</f>
        <v>57</v>
      </c>
      <c r="E498" s="3">
        <f>IFERROR(__xludf.DUMMYFUNCTION("""COMPUTED_VALUE"""),50559.0)</f>
        <v>50559</v>
      </c>
      <c r="F498" s="3" t="str">
        <f>IFERROR(__xludf.DUMMYFUNCTION("""COMPUTED_VALUE"""),"EUR")</f>
        <v>EUR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 t="str">
        <f>IFERROR(__xludf.DUMMYFUNCTION("""COMPUTED_VALUE"""),"323ac5f6-d709-43ca-be2b-cc1b9aaae0f9")</f>
        <v>323ac5f6-d709-43ca-be2b-cc1b9aaae0f9</v>
      </c>
      <c r="B499" s="3" t="str">
        <f>IFERROR(__xludf.DUMMYFUNCTION("""COMPUTED_VALUE"""),"Seville")</f>
        <v>Seville</v>
      </c>
      <c r="C499" s="4">
        <f>IFERROR(__xludf.DUMMYFUNCTION("""COMPUTED_VALUE"""),45684.0)</f>
        <v>45684</v>
      </c>
      <c r="D499" s="3">
        <f>IFERROR(__xludf.DUMMYFUNCTION("""COMPUTED_VALUE"""),55.0)</f>
        <v>55</v>
      </c>
      <c r="E499" s="3">
        <f>IFERROR(__xludf.DUMMYFUNCTION("""COMPUTED_VALUE"""),39600.0)</f>
        <v>39600</v>
      </c>
      <c r="F499" s="3" t="str">
        <f>IFERROR(__xludf.DUMMYFUNCTION("""COMPUTED_VALUE"""),"EUR")</f>
        <v>EUR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 t="str">
        <f>IFERROR(__xludf.DUMMYFUNCTION("""COMPUTED_VALUE"""),"068075e9-c780-4f54-80c8-5aa0fab772ac")</f>
        <v>068075e9-c780-4f54-80c8-5aa0fab772ac</v>
      </c>
      <c r="B500" s="3" t="str">
        <f>IFERROR(__xludf.DUMMYFUNCTION("""COMPUTED_VALUE"""),"Valencia")</f>
        <v>Valencia</v>
      </c>
      <c r="C500" s="4">
        <f>IFERROR(__xludf.DUMMYFUNCTION("""COMPUTED_VALUE"""),45684.0)</f>
        <v>45684</v>
      </c>
      <c r="D500" s="3">
        <f>IFERROR(__xludf.DUMMYFUNCTION("""COMPUTED_VALUE"""),66.0)</f>
        <v>66</v>
      </c>
      <c r="E500" s="3">
        <f>IFERROR(__xludf.DUMMYFUNCTION("""COMPUTED_VALUE"""),61710.0)</f>
        <v>61710</v>
      </c>
      <c r="F500" s="3" t="str">
        <f>IFERROR(__xludf.DUMMYFUNCTION("""COMPUTED_VALUE"""),"EUR")</f>
        <v>EUR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 t="str">
        <f>IFERROR(__xludf.DUMMYFUNCTION("""COMPUTED_VALUE"""),"94074d04-5525-49a0-9f73-f9c23e7559ae")</f>
        <v>94074d04-5525-49a0-9f73-f9c23e7559ae</v>
      </c>
      <c r="B501" s="3" t="str">
        <f>IFERROR(__xludf.DUMMYFUNCTION("""COMPUTED_VALUE"""),"Zaragoza")</f>
        <v>Zaragoza</v>
      </c>
      <c r="C501" s="4">
        <f>IFERROR(__xludf.DUMMYFUNCTION("""COMPUTED_VALUE"""),45684.0)</f>
        <v>45684</v>
      </c>
      <c r="D501" s="3">
        <f>IFERROR(__xludf.DUMMYFUNCTION("""COMPUTED_VALUE"""),62.0)</f>
        <v>62</v>
      </c>
      <c r="E501" s="3">
        <f>IFERROR(__xludf.DUMMYFUNCTION("""COMPUTED_VALUE"""),57474.0)</f>
        <v>57474</v>
      </c>
      <c r="F501" s="3" t="str">
        <f>IFERROR(__xludf.DUMMYFUNCTION("""COMPUTED_VALUE"""),"EUR")</f>
        <v>EUR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 t="str">
        <f>IFERROR(__xludf.DUMMYFUNCTION("""COMPUTED_VALUE"""),"21c4491a-386a-4ffd-909f-32c14701fdc1")</f>
        <v>21c4491a-386a-4ffd-909f-32c14701fdc1</v>
      </c>
      <c r="B502" s="3" t="str">
        <f>IFERROR(__xludf.DUMMYFUNCTION("""COMPUTED_VALUE"""),"Valencia")</f>
        <v>Valencia</v>
      </c>
      <c r="C502" s="4">
        <f>IFERROR(__xludf.DUMMYFUNCTION("""COMPUTED_VALUE"""),45684.0)</f>
        <v>45684</v>
      </c>
      <c r="D502" s="3">
        <f>IFERROR(__xludf.DUMMYFUNCTION("""COMPUTED_VALUE"""),66.0)</f>
        <v>66</v>
      </c>
      <c r="E502" s="3">
        <f>IFERROR(__xludf.DUMMYFUNCTION("""COMPUTED_VALUE"""),63888.0)</f>
        <v>63888</v>
      </c>
      <c r="F502" s="3" t="str">
        <f>IFERROR(__xludf.DUMMYFUNCTION("""COMPUTED_VALUE"""),"EUR")</f>
        <v>EUR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 t="str">
        <f>IFERROR(__xludf.DUMMYFUNCTION("""COMPUTED_VALUE"""),"973f7dd9-2eaf-4a30-9dcc-3baf9a6b20f6")</f>
        <v>973f7dd9-2eaf-4a30-9dcc-3baf9a6b20f6</v>
      </c>
      <c r="B503" s="3" t="str">
        <f>IFERROR(__xludf.DUMMYFUNCTION("""COMPUTED_VALUE"""),"Valencia")</f>
        <v>Valencia</v>
      </c>
      <c r="C503" s="4">
        <f>IFERROR(__xludf.DUMMYFUNCTION("""COMPUTED_VALUE"""),45684.0)</f>
        <v>45684</v>
      </c>
      <c r="D503" s="3">
        <f>IFERROR(__xludf.DUMMYFUNCTION("""COMPUTED_VALUE"""),61.0)</f>
        <v>61</v>
      </c>
      <c r="E503" s="3">
        <f>IFERROR(__xludf.DUMMYFUNCTION("""COMPUTED_VALUE"""),58255.0)</f>
        <v>58255</v>
      </c>
      <c r="F503" s="3" t="str">
        <f>IFERROR(__xludf.DUMMYFUNCTION("""COMPUTED_VALUE"""),"EUR")</f>
        <v>EUR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 t="str">
        <f>IFERROR(__xludf.DUMMYFUNCTION("""COMPUTED_VALUE"""),"051884b6-9901-4ff4-98e6-5e4b2ec2074b")</f>
        <v>051884b6-9901-4ff4-98e6-5e4b2ec2074b</v>
      </c>
      <c r="B504" s="3" t="str">
        <f>IFERROR(__xludf.DUMMYFUNCTION("""COMPUTED_VALUE"""),"Palma")</f>
        <v>Palma</v>
      </c>
      <c r="C504" s="4">
        <f>IFERROR(__xludf.DUMMYFUNCTION("""COMPUTED_VALUE"""),45684.0)</f>
        <v>45684</v>
      </c>
      <c r="D504" s="3">
        <f>IFERROR(__xludf.DUMMYFUNCTION("""COMPUTED_VALUE"""),55.0)</f>
        <v>55</v>
      </c>
      <c r="E504" s="3">
        <f>IFERROR(__xludf.DUMMYFUNCTION("""COMPUTED_VALUE"""),41965.0)</f>
        <v>41965</v>
      </c>
      <c r="F504" s="3" t="str">
        <f>IFERROR(__xludf.DUMMYFUNCTION("""COMPUTED_VALUE"""),"EUR")</f>
        <v>EUR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 t="str">
        <f>IFERROR(__xludf.DUMMYFUNCTION("""COMPUTED_VALUE"""),"16c622c7-3fa2-4e48-a6fb-7ccc7bd13193")</f>
        <v>16c622c7-3fa2-4e48-a6fb-7ccc7bd13193</v>
      </c>
      <c r="B505" s="3" t="str">
        <f>IFERROR(__xludf.DUMMYFUNCTION("""COMPUTED_VALUE"""),"Palma")</f>
        <v>Palma</v>
      </c>
      <c r="C505" s="4">
        <f>IFERROR(__xludf.DUMMYFUNCTION("""COMPUTED_VALUE"""),45684.0)</f>
        <v>45684</v>
      </c>
      <c r="D505" s="3">
        <f>IFERROR(__xludf.DUMMYFUNCTION("""COMPUTED_VALUE"""),60.0)</f>
        <v>60</v>
      </c>
      <c r="E505" s="3">
        <f>IFERROR(__xludf.DUMMYFUNCTION("""COMPUTED_VALUE"""),42840.0)</f>
        <v>42840</v>
      </c>
      <c r="F505" s="3" t="str">
        <f>IFERROR(__xludf.DUMMYFUNCTION("""COMPUTED_VALUE"""),"EUR")</f>
        <v>EUR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 t="str">
        <f>IFERROR(__xludf.DUMMYFUNCTION("""COMPUTED_VALUE"""),"453c10fb-38dd-4749-9d3b-9d949fb085b0")</f>
        <v>453c10fb-38dd-4749-9d3b-9d949fb085b0</v>
      </c>
      <c r="B506" s="3" t="str">
        <f>IFERROR(__xludf.DUMMYFUNCTION("""COMPUTED_VALUE"""),"Seville")</f>
        <v>Seville</v>
      </c>
      <c r="C506" s="4">
        <f>IFERROR(__xludf.DUMMYFUNCTION("""COMPUTED_VALUE"""),45684.0)</f>
        <v>45684</v>
      </c>
      <c r="D506" s="3">
        <f>IFERROR(__xludf.DUMMYFUNCTION("""COMPUTED_VALUE"""),52.0)</f>
        <v>52</v>
      </c>
      <c r="E506" s="3">
        <f>IFERROR(__xludf.DUMMYFUNCTION("""COMPUTED_VALUE"""),45760.0)</f>
        <v>45760</v>
      </c>
      <c r="F506" s="3" t="str">
        <f>IFERROR(__xludf.DUMMYFUNCTION("""COMPUTED_VALUE"""),"EUR")</f>
        <v>EUR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 t="str">
        <f>IFERROR(__xludf.DUMMYFUNCTION("""COMPUTED_VALUE"""),"b091f1fb-04c5-4496-b4a9-89a9aed03945")</f>
        <v>b091f1fb-04c5-4496-b4a9-89a9aed03945</v>
      </c>
      <c r="B507" s="3" t="str">
        <f>IFERROR(__xludf.DUMMYFUNCTION("""COMPUTED_VALUE"""),"Valencia")</f>
        <v>Valencia</v>
      </c>
      <c r="C507" s="4">
        <f>IFERROR(__xludf.DUMMYFUNCTION("""COMPUTED_VALUE"""),45684.0)</f>
        <v>45684</v>
      </c>
      <c r="D507" s="3">
        <f>IFERROR(__xludf.DUMMYFUNCTION("""COMPUTED_VALUE"""),57.0)</f>
        <v>57</v>
      </c>
      <c r="E507" s="3">
        <f>IFERROR(__xludf.DUMMYFUNCTION("""COMPUTED_VALUE"""),40983.0)</f>
        <v>40983</v>
      </c>
      <c r="F507" s="3" t="str">
        <f>IFERROR(__xludf.DUMMYFUNCTION("""COMPUTED_VALUE"""),"EUR")</f>
        <v>EUR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 t="str">
        <f>IFERROR(__xludf.DUMMYFUNCTION("""COMPUTED_VALUE"""),"7add3b40-490d-42c2-8757-32011acc51fh")</f>
        <v>7add3b40-490d-42c2-8757-32011acc51fh</v>
      </c>
      <c r="B508" s="3" t="str">
        <f>IFERROR(__xludf.DUMMYFUNCTION("""COMPUTED_VALUE"""),"Palma")</f>
        <v>Palma</v>
      </c>
      <c r="C508" s="4">
        <f>IFERROR(__xludf.DUMMYFUNCTION("""COMPUTED_VALUE"""),45684.0)</f>
        <v>45684</v>
      </c>
      <c r="D508" s="3">
        <f>IFERROR(__xludf.DUMMYFUNCTION("""COMPUTED_VALUE"""),59.0)</f>
        <v>59</v>
      </c>
      <c r="E508" s="3">
        <f>IFERROR(__xludf.DUMMYFUNCTION("""COMPUTED_VALUE"""),44899.0)</f>
        <v>44899</v>
      </c>
      <c r="F508" s="3" t="str">
        <f>IFERROR(__xludf.DUMMYFUNCTION("""COMPUTED_VALUE"""),"EUR")</f>
        <v>EUR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 t="str">
        <f>IFERROR(__xludf.DUMMYFUNCTION("""COMPUTED_VALUE"""),"82fe1060-9250-46f5-b2bb-58d19582e247")</f>
        <v>82fe1060-9250-46f5-b2bb-58d19582e247</v>
      </c>
      <c r="B509" s="3" t="str">
        <f>IFERROR(__xludf.DUMMYFUNCTION("""COMPUTED_VALUE"""),"Zaragoza")</f>
        <v>Zaragoza</v>
      </c>
      <c r="C509" s="4">
        <f>IFERROR(__xludf.DUMMYFUNCTION("""COMPUTED_VALUE"""),45684.0)</f>
        <v>45684</v>
      </c>
      <c r="D509" s="3">
        <f>IFERROR(__xludf.DUMMYFUNCTION("""COMPUTED_VALUE"""),57.0)</f>
        <v>57</v>
      </c>
      <c r="E509" s="3">
        <f>IFERROR(__xludf.DUMMYFUNCTION("""COMPUTED_VALUE"""),45201.0)</f>
        <v>45201</v>
      </c>
      <c r="F509" s="3" t="str">
        <f>IFERROR(__xludf.DUMMYFUNCTION("""COMPUTED_VALUE"""),"EUR")</f>
        <v>EUR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 t="str">
        <f>IFERROR(__xludf.DUMMYFUNCTION("""COMPUTED_VALUE"""),"d33e89d9-3414-4725-9f72-c52de0b20d55")</f>
        <v>d33e89d9-3414-4725-9f72-c52de0b20d55</v>
      </c>
      <c r="B510" s="3" t="str">
        <f>IFERROR(__xludf.DUMMYFUNCTION("""COMPUTED_VALUE"""),"Zaragoza")</f>
        <v>Zaragoza</v>
      </c>
      <c r="C510" s="4">
        <f>IFERROR(__xludf.DUMMYFUNCTION("""COMPUTED_VALUE"""),45684.0)</f>
        <v>45684</v>
      </c>
      <c r="D510" s="3">
        <f>IFERROR(__xludf.DUMMYFUNCTION("""COMPUTED_VALUE"""),54.0)</f>
        <v>54</v>
      </c>
      <c r="E510" s="3">
        <f>IFERROR(__xludf.DUMMYFUNCTION("""COMPUTED_VALUE"""),48168.0)</f>
        <v>48168</v>
      </c>
      <c r="F510" s="3" t="str">
        <f>IFERROR(__xludf.DUMMYFUNCTION("""COMPUTED_VALUE"""),"EUR")</f>
        <v>EUR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 t="str">
        <f>IFERROR(__xludf.DUMMYFUNCTION("""COMPUTED_VALUE"""),"b3462386-3196-4171-bc26-f954be9be15e")</f>
        <v>b3462386-3196-4171-bc26-f954be9be15e</v>
      </c>
      <c r="B511" s="3" t="str">
        <f>IFERROR(__xludf.DUMMYFUNCTION("""COMPUTED_VALUE"""),"Palma")</f>
        <v>Palma</v>
      </c>
      <c r="C511" s="4">
        <f>IFERROR(__xludf.DUMMYFUNCTION("""COMPUTED_VALUE"""),45684.0)</f>
        <v>45684</v>
      </c>
      <c r="D511" s="3">
        <f>IFERROR(__xludf.DUMMYFUNCTION("""COMPUTED_VALUE"""),51.0)</f>
        <v>51</v>
      </c>
      <c r="E511" s="3">
        <f>IFERROR(__xludf.DUMMYFUNCTION("""COMPUTED_VALUE"""),37026.0)</f>
        <v>37026</v>
      </c>
      <c r="F511" s="3" t="str">
        <f>IFERROR(__xludf.DUMMYFUNCTION("""COMPUTED_VALUE"""),"EUR")</f>
        <v>EUR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7.5"/>
    <col customWidth="1" min="5" max="6" width="12.63"/>
  </cols>
  <sheetData>
    <row r="1" ht="15.75" customHeight="1">
      <c r="A1" s="15" t="s">
        <v>1</v>
      </c>
      <c r="B1" s="16" t="s">
        <v>448</v>
      </c>
      <c r="C1" s="15" t="s">
        <v>449</v>
      </c>
      <c r="D1" s="16" t="s">
        <v>450</v>
      </c>
      <c r="E1" s="15" t="s">
        <v>7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 t="str">
        <f>IFERROR(__xludf.DUMMYFUNCTION("UNIQUE(FILTER(Data!B:B,Data!D:D=Data!D1444))"),"Poland")</f>
        <v>Poland</v>
      </c>
      <c r="B2" s="3">
        <f>COUNTIFS(Data!$B$2:$B$1444,$A2,Data!$D$2:$D$1444,Data!$D$1444)</f>
        <v>104</v>
      </c>
      <c r="C2" s="3">
        <f>SUMPRODUCT((Data!$B$2:$B$1444=$A2)*(Data!$D$2:$D$1444=Data!$D$1444)*(Data!$E$2:$E$1444*Data!$G$2:$G$1444))</f>
        <v>13069572</v>
      </c>
      <c r="D2" s="3">
        <f>(SUMPRODUCT((Data!$B$2:$B$1444=$A2)*(Data!$D$2:$D$1444=Data!$D$1444)*(Data!$F$2:$F$1444)))/B2</f>
        <v>2.663461538</v>
      </c>
      <c r="E2" s="3" t="str">
        <f>VLOOKUP($A2,'Currency Table'!$M$3:$N$6,2, FALSE)</f>
        <v>PLN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tr">
        <f>IFERROR(__xludf.DUMMYFUNCTION("""COMPUTED_VALUE"""),"UK")</f>
        <v>UK</v>
      </c>
      <c r="B3" s="3">
        <f>COUNTIFS(Data!$B$2:$B$1444,$A3,Data!$D$2:$D$1444,Data!$D$1444)</f>
        <v>72</v>
      </c>
      <c r="C3" s="3">
        <f>SUMPRODUCT((Data!$B$2:$B$1444=$A3)*(Data!$D$2:$D$1444=Data!$D$1444)*(Data!$E$2:$E$1444*Data!$G$2:$G$1444))</f>
        <v>2200675</v>
      </c>
      <c r="D3" s="3">
        <f>(SUMPRODUCT((Data!$B$2:$B$1444=$A3)*(Data!$D$2:$D$1444=Data!$D$1444)*(Data!$F$2:$F$1444)))/B3</f>
        <v>2.388888889</v>
      </c>
      <c r="E3" s="3" t="str">
        <f>VLOOKUP($A3,'Currency Table'!$M$3:$N$6,2, FALSE)</f>
        <v>GBP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tr">
        <f>IFERROR(__xludf.DUMMYFUNCTION("""COMPUTED_VALUE"""),"France")</f>
        <v>France</v>
      </c>
      <c r="B4" s="3">
        <f>COUNTIFS(Data!$B$2:$B$1444,$A4,Data!$D$2:$D$1444,Data!$D$1444)</f>
        <v>94</v>
      </c>
      <c r="C4" s="3">
        <f>SUMPRODUCT((Data!$B$2:$B$1444=$A4)*(Data!$D$2:$D$1444=Data!$D$1444)*(Data!$E$2:$E$1444*Data!$G$2:$G$1444))</f>
        <v>2858334</v>
      </c>
      <c r="D4" s="3">
        <f>(SUMPRODUCT((Data!$B$2:$B$1444=$A4)*(Data!$D$2:$D$1444=Data!$D$1444)*(Data!$F$2:$F$1444)))/B4</f>
        <v>2.393617021</v>
      </c>
      <c r="E4" s="3" t="str">
        <f>VLOOKUP($A4,'Currency Table'!$M$3:$N$6,2, FALSE)</f>
        <v>EUR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tr">
        <f>IFERROR(__xludf.DUMMYFUNCTION("""COMPUTED_VALUE"""),"Spain")</f>
        <v>Spain</v>
      </c>
      <c r="B5" s="3">
        <f>COUNTIFS(Data!$B$2:$B$1444,$A5,Data!$D$2:$D$1444,Data!$D$1444)</f>
        <v>93</v>
      </c>
      <c r="C5" s="3">
        <f>SUMPRODUCT((Data!$B$2:$B$1444=$A5)*(Data!$D$2:$D$1444=Data!$D$1444)*(Data!$E$2:$E$1444*Data!$G$2:$G$1444))</f>
        <v>2398791</v>
      </c>
      <c r="D5" s="3">
        <f>(SUMPRODUCT((Data!$B$2:$B$1444=$A5)*(Data!$D$2:$D$1444=Data!$D$1444)*(Data!$F$2:$F$1444)))/B5</f>
        <v>2.47311828</v>
      </c>
      <c r="E5" s="3" t="str">
        <f>VLOOKUP($A5,'Currency Table'!$M$3:$N$6,2, FALSE)</f>
        <v>EUR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17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8"/>
      <c r="B11" s="19"/>
      <c r="C11" s="19"/>
      <c r="D11" s="19"/>
      <c r="E11" s="19"/>
      <c r="F11" s="19"/>
      <c r="G11" s="19"/>
      <c r="H11" s="19"/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4" width="18.0"/>
    <col customWidth="1" min="5" max="5" width="15.38"/>
    <col customWidth="1" min="6" max="6" width="12.63"/>
  </cols>
  <sheetData>
    <row r="1" ht="15.75" customHeight="1">
      <c r="F1" s="3"/>
    </row>
    <row r="2" ht="15.75" customHeight="1">
      <c r="F2" s="3"/>
    </row>
    <row r="3" ht="15.75" customHeight="1">
      <c r="F3" s="3"/>
    </row>
    <row r="4" ht="15.75" customHeight="1">
      <c r="F4" s="3"/>
    </row>
    <row r="5" ht="15.75" customHeight="1">
      <c r="F5" s="3"/>
    </row>
    <row r="6" ht="15.75" customHeight="1">
      <c r="F6" s="3"/>
    </row>
    <row r="7" ht="15.75" customHeight="1">
      <c r="F7" s="3"/>
    </row>
    <row r="8" ht="15.75" customHeight="1">
      <c r="F8" s="3"/>
    </row>
    <row r="9" ht="15.75" customHeight="1">
      <c r="F9" s="3"/>
    </row>
    <row r="10" ht="15.75" customHeight="1">
      <c r="F10" s="3"/>
    </row>
    <row r="11" ht="15.75" customHeight="1">
      <c r="A11" s="3"/>
      <c r="B11" s="3"/>
      <c r="C11" s="3"/>
      <c r="D11" s="21"/>
      <c r="E11" s="3"/>
      <c r="F11" s="3"/>
    </row>
    <row r="12" ht="15.75" customHeight="1">
      <c r="A12" s="22"/>
      <c r="B12" s="3"/>
      <c r="C12" s="3"/>
      <c r="D12" s="21"/>
      <c r="E12" s="3"/>
      <c r="F12" s="3"/>
    </row>
    <row r="13" ht="15.75" customHeight="1">
      <c r="A13" s="3"/>
      <c r="B13" s="3"/>
      <c r="C13" s="3"/>
      <c r="D13" s="21"/>
      <c r="E13" s="3"/>
      <c r="F13" s="3"/>
    </row>
    <row r="14" ht="15.75" customHeight="1">
      <c r="A14" s="3"/>
      <c r="B14" s="3"/>
      <c r="C14" s="3"/>
      <c r="D14" s="21"/>
      <c r="E14" s="3"/>
      <c r="F14" s="3"/>
    </row>
    <row r="15" ht="15.75" customHeight="1">
      <c r="D15" s="23"/>
    </row>
    <row r="16" ht="15.75" customHeight="1">
      <c r="D16" s="23"/>
    </row>
    <row r="17" ht="15.75" customHeight="1">
      <c r="D17" s="23"/>
    </row>
    <row r="18" ht="15.75" customHeight="1">
      <c r="D18" s="23"/>
    </row>
    <row r="19" ht="15.75" customHeight="1">
      <c r="D19" s="23"/>
    </row>
    <row r="20" ht="15.75" customHeight="1">
      <c r="D20" s="23"/>
    </row>
    <row r="21" ht="15.75" customHeight="1">
      <c r="D21" s="23"/>
    </row>
    <row r="22" ht="15.75" customHeight="1">
      <c r="D22" s="23"/>
    </row>
    <row r="23" ht="15.75" customHeight="1">
      <c r="D23" s="23"/>
    </row>
    <row r="24" ht="15.75" customHeight="1">
      <c r="D24" s="23"/>
    </row>
    <row r="25" ht="15.75" customHeight="1">
      <c r="D25" s="23"/>
    </row>
    <row r="26" ht="15.75" customHeight="1">
      <c r="D26" s="23"/>
    </row>
    <row r="27" ht="15.75" customHeight="1">
      <c r="D27" s="23"/>
    </row>
    <row r="28" ht="15.75" customHeight="1">
      <c r="D28" s="23"/>
    </row>
    <row r="29" ht="15.75" customHeight="1">
      <c r="D29" s="23"/>
    </row>
    <row r="30" ht="15.75" customHeight="1">
      <c r="D30" s="23"/>
    </row>
    <row r="31" ht="15.75" customHeight="1">
      <c r="D31" s="23"/>
    </row>
    <row r="32" ht="15.75" customHeight="1">
      <c r="D32" s="23"/>
    </row>
    <row r="33" ht="15.75" customHeight="1">
      <c r="D33" s="23"/>
    </row>
    <row r="34" ht="15.75" customHeight="1">
      <c r="D34" s="23"/>
    </row>
    <row r="35" ht="15.75" customHeight="1">
      <c r="D35" s="23"/>
    </row>
    <row r="36" ht="15.75" customHeight="1">
      <c r="D36" s="23"/>
    </row>
    <row r="37" ht="15.75" customHeight="1">
      <c r="D37" s="23"/>
    </row>
    <row r="38" ht="15.75" customHeight="1">
      <c r="D38" s="23"/>
    </row>
    <row r="39" ht="15.75" customHeight="1">
      <c r="D39" s="23"/>
    </row>
    <row r="40" ht="15.75" customHeight="1">
      <c r="D40" s="23"/>
    </row>
    <row r="41" ht="15.75" customHeight="1">
      <c r="D41" s="23"/>
    </row>
    <row r="42" ht="15.75" customHeight="1">
      <c r="D42" s="23"/>
    </row>
    <row r="43" ht="15.75" customHeight="1">
      <c r="D43" s="23"/>
    </row>
    <row r="44" ht="15.75" customHeight="1">
      <c r="D44" s="23"/>
    </row>
    <row r="45" ht="15.75" customHeight="1">
      <c r="D45" s="23"/>
    </row>
    <row r="46" ht="15.75" customHeight="1">
      <c r="D46" s="23"/>
    </row>
    <row r="47" ht="15.75" customHeight="1">
      <c r="D47" s="23"/>
    </row>
    <row r="48" ht="15.75" customHeight="1">
      <c r="D48" s="23"/>
    </row>
    <row r="49" ht="15.75" customHeight="1">
      <c r="D49" s="23"/>
    </row>
    <row r="50" ht="15.75" customHeight="1">
      <c r="D50" s="23"/>
    </row>
    <row r="51" ht="15.75" customHeight="1">
      <c r="D51" s="23"/>
    </row>
    <row r="52" ht="15.75" customHeight="1">
      <c r="D52" s="23"/>
    </row>
    <row r="53" ht="15.75" customHeight="1">
      <c r="D53" s="23"/>
    </row>
    <row r="54" ht="15.75" customHeight="1">
      <c r="D54" s="23"/>
    </row>
    <row r="55" ht="15.75" customHeight="1">
      <c r="D55" s="23"/>
    </row>
    <row r="56" ht="15.75" customHeight="1">
      <c r="D56" s="23"/>
    </row>
    <row r="57" ht="15.75" customHeight="1">
      <c r="D57" s="23"/>
    </row>
    <row r="58" ht="15.75" customHeight="1">
      <c r="D58" s="23"/>
    </row>
    <row r="59" ht="15.75" customHeight="1">
      <c r="D59" s="23"/>
    </row>
    <row r="60" ht="15.75" customHeight="1">
      <c r="D60" s="23"/>
    </row>
    <row r="61" ht="15.75" customHeight="1">
      <c r="D61" s="23"/>
    </row>
    <row r="62" ht="15.75" customHeight="1">
      <c r="D62" s="23"/>
    </row>
    <row r="63" ht="15.75" customHeight="1">
      <c r="D63" s="23"/>
    </row>
    <row r="64" ht="15.75" customHeight="1">
      <c r="D64" s="23"/>
    </row>
    <row r="65" ht="15.75" customHeight="1">
      <c r="D65" s="23"/>
    </row>
    <row r="66" ht="15.75" customHeight="1">
      <c r="D66" s="23"/>
    </row>
    <row r="67" ht="15.75" customHeight="1">
      <c r="D67" s="23"/>
    </row>
    <row r="68" ht="15.75" customHeight="1">
      <c r="D68" s="23"/>
    </row>
    <row r="69" ht="15.75" customHeight="1">
      <c r="D69" s="23"/>
    </row>
    <row r="70" ht="15.75" customHeight="1">
      <c r="D70" s="23"/>
    </row>
    <row r="71" ht="15.75" customHeight="1">
      <c r="D71" s="23"/>
    </row>
    <row r="72" ht="15.75" customHeight="1">
      <c r="D72" s="23"/>
    </row>
    <row r="73" ht="15.75" customHeight="1">
      <c r="D73" s="23"/>
    </row>
    <row r="74" ht="15.75" customHeight="1">
      <c r="D74" s="23"/>
    </row>
    <row r="75" ht="15.75" customHeight="1">
      <c r="D75" s="23"/>
    </row>
    <row r="76" ht="15.75" customHeight="1">
      <c r="D76" s="23"/>
    </row>
    <row r="77" ht="15.75" customHeight="1">
      <c r="D77" s="23"/>
    </row>
    <row r="78" ht="15.75" customHeight="1">
      <c r="D78" s="23"/>
    </row>
    <row r="79" ht="15.75" customHeight="1">
      <c r="D79" s="23"/>
    </row>
    <row r="80" ht="15.75" customHeight="1">
      <c r="D80" s="23"/>
    </row>
    <row r="81" ht="15.75" customHeight="1">
      <c r="D81" s="23"/>
    </row>
    <row r="82" ht="15.75" customHeight="1">
      <c r="D82" s="23"/>
    </row>
    <row r="83" ht="15.75" customHeight="1">
      <c r="D83" s="23"/>
    </row>
    <row r="84" ht="15.75" customHeight="1">
      <c r="D84" s="23"/>
    </row>
    <row r="85" ht="15.75" customHeight="1">
      <c r="D85" s="23"/>
    </row>
    <row r="86" ht="15.75" customHeight="1">
      <c r="D86" s="23"/>
    </row>
    <row r="87" ht="15.75" customHeight="1">
      <c r="D87" s="23"/>
    </row>
    <row r="88" ht="15.75" customHeight="1">
      <c r="D88" s="23"/>
    </row>
    <row r="89" ht="15.75" customHeight="1">
      <c r="D89" s="23"/>
    </row>
    <row r="90" ht="15.75" customHeight="1">
      <c r="D90" s="23"/>
    </row>
    <row r="91" ht="15.75" customHeight="1">
      <c r="D91" s="23"/>
    </row>
    <row r="92" ht="15.75" customHeight="1">
      <c r="D92" s="23"/>
    </row>
    <row r="93" ht="15.75" customHeight="1">
      <c r="D93" s="23"/>
    </row>
    <row r="94" ht="15.75" customHeight="1">
      <c r="D94" s="23"/>
    </row>
    <row r="95" ht="15.75" customHeight="1">
      <c r="D95" s="23"/>
    </row>
    <row r="96" ht="15.75" customHeight="1">
      <c r="D96" s="23"/>
    </row>
    <row r="97" ht="15.75" customHeight="1">
      <c r="D97" s="23"/>
    </row>
    <row r="98" ht="15.75" customHeight="1">
      <c r="D98" s="23"/>
    </row>
    <row r="99" ht="15.75" customHeight="1">
      <c r="D99" s="23"/>
    </row>
    <row r="100" ht="15.75" customHeight="1">
      <c r="D100" s="23"/>
    </row>
    <row r="101" ht="15.75" customHeight="1">
      <c r="D101" s="23"/>
    </row>
    <row r="102" ht="15.75" customHeight="1">
      <c r="D102" s="23"/>
    </row>
    <row r="103" ht="15.75" customHeight="1">
      <c r="D103" s="23"/>
    </row>
    <row r="104" ht="15.75" customHeight="1">
      <c r="D104" s="23"/>
    </row>
    <row r="105" ht="15.75" customHeight="1">
      <c r="D105" s="23"/>
    </row>
    <row r="106" ht="15.75" customHeight="1">
      <c r="D106" s="23"/>
    </row>
    <row r="107" ht="15.75" customHeight="1">
      <c r="D107" s="23"/>
    </row>
    <row r="108" ht="15.75" customHeight="1">
      <c r="D108" s="23"/>
    </row>
    <row r="109" ht="15.75" customHeight="1">
      <c r="D109" s="23"/>
    </row>
    <row r="110" ht="15.75" customHeight="1">
      <c r="D110" s="23"/>
    </row>
    <row r="111" ht="15.75" customHeight="1">
      <c r="D111" s="23"/>
    </row>
    <row r="112" ht="15.75" customHeight="1">
      <c r="D112" s="23"/>
    </row>
    <row r="113" ht="15.75" customHeight="1">
      <c r="D113" s="23"/>
    </row>
    <row r="114" ht="15.75" customHeight="1">
      <c r="D114" s="23"/>
    </row>
    <row r="115" ht="15.75" customHeight="1">
      <c r="D115" s="23"/>
    </row>
    <row r="116" ht="15.75" customHeight="1">
      <c r="D116" s="23"/>
    </row>
    <row r="117" ht="15.75" customHeight="1">
      <c r="D117" s="23"/>
    </row>
    <row r="118" ht="15.75" customHeight="1">
      <c r="D118" s="23"/>
    </row>
    <row r="119" ht="15.75" customHeight="1">
      <c r="D119" s="23"/>
    </row>
    <row r="120" ht="15.75" customHeight="1">
      <c r="D120" s="23"/>
    </row>
    <row r="121" ht="15.75" customHeight="1">
      <c r="D121" s="23"/>
    </row>
    <row r="122" ht="15.75" customHeight="1">
      <c r="D122" s="23"/>
    </row>
    <row r="123" ht="15.75" customHeight="1">
      <c r="D123" s="23"/>
    </row>
    <row r="124" ht="15.75" customHeight="1">
      <c r="D124" s="23"/>
    </row>
    <row r="125" ht="15.75" customHeight="1">
      <c r="D125" s="23"/>
    </row>
    <row r="126" ht="15.75" customHeight="1">
      <c r="D126" s="23"/>
    </row>
    <row r="127" ht="15.75" customHeight="1">
      <c r="D127" s="23"/>
    </row>
    <row r="128" ht="15.75" customHeight="1">
      <c r="D128" s="23"/>
    </row>
    <row r="129" ht="15.75" customHeight="1">
      <c r="D129" s="23"/>
    </row>
    <row r="130" ht="15.75" customHeight="1">
      <c r="D130" s="23"/>
    </row>
    <row r="131" ht="15.75" customHeight="1">
      <c r="D131" s="23"/>
    </row>
    <row r="132" ht="15.75" customHeight="1">
      <c r="D132" s="23"/>
    </row>
    <row r="133" ht="15.75" customHeight="1">
      <c r="D133" s="23"/>
    </row>
    <row r="134" ht="15.75" customHeight="1">
      <c r="D134" s="23"/>
    </row>
    <row r="135" ht="15.75" customHeight="1">
      <c r="D135" s="23"/>
    </row>
    <row r="136" ht="15.75" customHeight="1">
      <c r="D136" s="23"/>
    </row>
    <row r="137" ht="15.75" customHeight="1">
      <c r="D137" s="23"/>
    </row>
    <row r="138" ht="15.75" customHeight="1">
      <c r="D138" s="23"/>
    </row>
    <row r="139" ht="15.75" customHeight="1">
      <c r="D139" s="23"/>
    </row>
    <row r="140" ht="15.75" customHeight="1">
      <c r="D140" s="23"/>
    </row>
    <row r="141" ht="15.75" customHeight="1">
      <c r="D141" s="23"/>
    </row>
    <row r="142" ht="15.75" customHeight="1">
      <c r="D142" s="23"/>
    </row>
    <row r="143" ht="15.75" customHeight="1">
      <c r="D143" s="23"/>
    </row>
    <row r="144" ht="15.75" customHeight="1">
      <c r="D144" s="23"/>
    </row>
    <row r="145" ht="15.75" customHeight="1">
      <c r="D145" s="23"/>
    </row>
    <row r="146" ht="15.75" customHeight="1">
      <c r="D146" s="23"/>
    </row>
    <row r="147" ht="15.75" customHeight="1">
      <c r="D147" s="23"/>
    </row>
    <row r="148" ht="15.75" customHeight="1">
      <c r="D148" s="23"/>
    </row>
    <row r="149" ht="15.75" customHeight="1">
      <c r="D149" s="23"/>
    </row>
    <row r="150" ht="15.75" customHeight="1">
      <c r="D150" s="23"/>
    </row>
    <row r="151" ht="15.75" customHeight="1">
      <c r="D151" s="23"/>
    </row>
    <row r="152" ht="15.75" customHeight="1">
      <c r="D152" s="23"/>
    </row>
    <row r="153" ht="15.75" customHeight="1">
      <c r="D153" s="23"/>
    </row>
    <row r="154" ht="15.75" customHeight="1">
      <c r="D154" s="23"/>
    </row>
    <row r="155" ht="15.75" customHeight="1">
      <c r="D155" s="23"/>
    </row>
    <row r="156" ht="15.75" customHeight="1">
      <c r="D156" s="23"/>
    </row>
    <row r="157" ht="15.75" customHeight="1">
      <c r="D157" s="23"/>
    </row>
    <row r="158" ht="15.75" customHeight="1">
      <c r="D158" s="23"/>
    </row>
    <row r="159" ht="15.75" customHeight="1">
      <c r="D159" s="23"/>
    </row>
    <row r="160" ht="15.75" customHeight="1">
      <c r="D160" s="23"/>
    </row>
    <row r="161" ht="15.75" customHeight="1">
      <c r="D161" s="23"/>
    </row>
    <row r="162" ht="15.75" customHeight="1">
      <c r="D162" s="23"/>
    </row>
    <row r="163" ht="15.75" customHeight="1">
      <c r="D163" s="23"/>
    </row>
    <row r="164" ht="15.75" customHeight="1">
      <c r="D164" s="23"/>
    </row>
    <row r="165" ht="15.75" customHeight="1">
      <c r="D165" s="23"/>
    </row>
    <row r="166" ht="15.75" customHeight="1">
      <c r="D166" s="23"/>
    </row>
    <row r="167" ht="15.75" customHeight="1">
      <c r="D167" s="23"/>
    </row>
    <row r="168" ht="15.75" customHeight="1">
      <c r="D168" s="23"/>
    </row>
    <row r="169" ht="15.75" customHeight="1">
      <c r="D169" s="23"/>
    </row>
    <row r="170" ht="15.75" customHeight="1">
      <c r="D170" s="23"/>
    </row>
    <row r="171" ht="15.75" customHeight="1">
      <c r="D171" s="23"/>
    </row>
    <row r="172" ht="15.75" customHeight="1">
      <c r="D172" s="23"/>
    </row>
    <row r="173" ht="15.75" customHeight="1">
      <c r="D173" s="23"/>
    </row>
    <row r="174" ht="15.75" customHeight="1">
      <c r="D174" s="23"/>
    </row>
    <row r="175" ht="15.75" customHeight="1">
      <c r="D175" s="23"/>
    </row>
    <row r="176" ht="15.75" customHeight="1">
      <c r="D176" s="23"/>
    </row>
    <row r="177" ht="15.75" customHeight="1">
      <c r="D177" s="23"/>
    </row>
    <row r="178" ht="15.75" customHeight="1">
      <c r="D178" s="23"/>
    </row>
    <row r="179" ht="15.75" customHeight="1">
      <c r="D179" s="23"/>
    </row>
    <row r="180" ht="15.75" customHeight="1">
      <c r="D180" s="23"/>
    </row>
    <row r="181" ht="15.75" customHeight="1">
      <c r="D181" s="23"/>
    </row>
    <row r="182" ht="15.75" customHeight="1">
      <c r="D182" s="23"/>
    </row>
    <row r="183" ht="15.75" customHeight="1">
      <c r="D183" s="23"/>
    </row>
    <row r="184" ht="15.75" customHeight="1">
      <c r="D184" s="23"/>
    </row>
    <row r="185" ht="15.75" customHeight="1">
      <c r="D185" s="23"/>
    </row>
    <row r="186" ht="15.75" customHeight="1">
      <c r="D186" s="23"/>
    </row>
    <row r="187" ht="15.75" customHeight="1">
      <c r="D187" s="23"/>
    </row>
    <row r="188" ht="15.75" customHeight="1">
      <c r="D188" s="23"/>
    </row>
    <row r="189" ht="15.75" customHeight="1">
      <c r="D189" s="23"/>
    </row>
    <row r="190" ht="15.75" customHeight="1">
      <c r="D190" s="23"/>
    </row>
    <row r="191" ht="15.75" customHeight="1">
      <c r="D191" s="23"/>
    </row>
    <row r="192" ht="15.75" customHeight="1">
      <c r="D192" s="23"/>
    </row>
    <row r="193" ht="15.75" customHeight="1">
      <c r="D193" s="23"/>
    </row>
    <row r="194" ht="15.75" customHeight="1">
      <c r="D194" s="23"/>
    </row>
    <row r="195" ht="15.75" customHeight="1">
      <c r="D195" s="23"/>
    </row>
    <row r="196" ht="15.75" customHeight="1">
      <c r="D196" s="23"/>
    </row>
    <row r="197" ht="15.75" customHeight="1">
      <c r="D197" s="23"/>
    </row>
    <row r="198" ht="15.75" customHeight="1">
      <c r="D198" s="23"/>
    </row>
    <row r="199" ht="15.75" customHeight="1">
      <c r="D199" s="23"/>
    </row>
    <row r="200" ht="15.75" customHeight="1">
      <c r="D200" s="23"/>
    </row>
    <row r="201" ht="15.75" customHeight="1">
      <c r="D201" s="23"/>
    </row>
    <row r="202" ht="15.75" customHeight="1">
      <c r="D202" s="23"/>
    </row>
    <row r="203" ht="15.75" customHeight="1">
      <c r="D203" s="23"/>
    </row>
    <row r="204" ht="15.75" customHeight="1">
      <c r="D204" s="23"/>
    </row>
    <row r="205" ht="15.75" customHeight="1">
      <c r="D205" s="23"/>
    </row>
    <row r="206" ht="15.75" customHeight="1">
      <c r="D206" s="23"/>
    </row>
    <row r="207" ht="15.75" customHeight="1">
      <c r="D207" s="23"/>
    </row>
    <row r="208" ht="15.75" customHeight="1">
      <c r="D208" s="23"/>
    </row>
    <row r="209" ht="15.75" customHeight="1">
      <c r="D209" s="23"/>
    </row>
    <row r="210" ht="15.75" customHeight="1">
      <c r="D210" s="23"/>
    </row>
    <row r="211" ht="15.75" customHeight="1">
      <c r="D211" s="23"/>
    </row>
    <row r="212" ht="15.75" customHeight="1">
      <c r="D212" s="23"/>
    </row>
    <row r="213" ht="15.75" customHeight="1">
      <c r="D213" s="23"/>
    </row>
    <row r="214" ht="15.75" customHeight="1">
      <c r="D214" s="23"/>
    </row>
    <row r="215" ht="15.75" customHeight="1">
      <c r="D215" s="23"/>
    </row>
    <row r="216" ht="15.75" customHeight="1">
      <c r="D216" s="23"/>
    </row>
    <row r="217" ht="15.75" customHeight="1">
      <c r="D217" s="23"/>
    </row>
    <row r="218" ht="15.75" customHeight="1">
      <c r="D218" s="23"/>
    </row>
    <row r="219" ht="15.75" customHeight="1">
      <c r="D219" s="23"/>
    </row>
    <row r="220" ht="15.75" customHeight="1">
      <c r="D220" s="2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2.75"/>
    <col customWidth="1" min="5" max="6" width="12.63"/>
  </cols>
  <sheetData>
    <row r="1" ht="15.75" customHeight="1">
      <c r="B1" s="24" t="s">
        <v>456</v>
      </c>
      <c r="C1" s="24" t="s">
        <v>449</v>
      </c>
      <c r="D1" s="25" t="s">
        <v>457</v>
      </c>
      <c r="H1" s="26"/>
    </row>
    <row r="2" ht="15.75" customHeight="1">
      <c r="A2" s="3"/>
      <c r="B2" s="27">
        <v>45663.0</v>
      </c>
      <c r="C2" s="28">
        <f>SUMPRODUCT((Data!$B$2:$B$1444="Poland")*(Data!$D$2:$D$1444=Data!$D$2)*(Data!$G$2:$G$1444))</f>
        <v>259194</v>
      </c>
      <c r="D2" s="28">
        <f>SUMPRODUCT((Data!$B$2:$B$1444="Poland")*(Data!$D$2:$D$1444=Data!$D$2)*(Data!$E$2:$E$1444))</f>
        <v>3872</v>
      </c>
      <c r="G2" s="29"/>
      <c r="H2" s="30"/>
    </row>
    <row r="3" ht="15.75" customHeight="1">
      <c r="B3" s="27">
        <v>45670.0</v>
      </c>
      <c r="C3" s="28">
        <f>SUMPRODUCT((Data!$B$2:$B$1444="Poland")*(Data!$D$2:$D$1444=Data!$D$103)*(Data!$G$2:$G$1444))</f>
        <v>242331</v>
      </c>
      <c r="D3" s="28">
        <f>SUMPRODUCT((Data!$B$2:$B$1444="Poland")*(Data!$D$2:$D$1444=Data!$D$103)*(Data!$E$2:$E$1444))</f>
        <v>3666</v>
      </c>
      <c r="H3" s="30"/>
    </row>
    <row r="4" ht="15.75" customHeight="1">
      <c r="B4" s="27">
        <v>45677.0</v>
      </c>
      <c r="C4" s="28">
        <f>SUMPRODUCT((Data!$B$2:$B$1444="Poland")*(Data!$D$2:$D$1444=Data!$D$210)*(Data!$G$2:$G$1444))</f>
        <v>290224</v>
      </c>
      <c r="D4" s="28">
        <f>SUMPRODUCT((Data!$B$2:$B$1444="Poland")*(Data!$D$2:$D$1444=Data!$D$210)*(Data!$E$2:$E$1444))</f>
        <v>4561</v>
      </c>
      <c r="E4" s="31"/>
      <c r="F4" s="31"/>
      <c r="G4" s="31"/>
      <c r="H4" s="32"/>
    </row>
    <row r="5" ht="15.75" customHeight="1">
      <c r="B5" s="27">
        <v>45684.0</v>
      </c>
      <c r="C5" s="28">
        <f>SUMPRODUCT((Data!$B$2:$B$1444="Poland")*(Data!$D$2:$D$1444=Data!$D$1444)*(Data!$G$2:$G$1444))</f>
        <v>275687</v>
      </c>
      <c r="D5" s="28">
        <f>SUMPRODUCT((Data!$B$2:$B$1444="Poland")*(Data!$D$2:$D$1444=Data!$D$1444)*(Data!$E$2:$E$1444))</f>
        <v>4234</v>
      </c>
      <c r="G5" s="33"/>
    </row>
    <row r="6" ht="15.75" customHeight="1">
      <c r="E6" s="33"/>
      <c r="G6" s="33"/>
    </row>
    <row r="7" ht="15.75" customHeight="1">
      <c r="G7" s="33"/>
    </row>
    <row r="8" ht="15.75" customHeight="1">
      <c r="G8" s="33"/>
    </row>
    <row r="9" ht="15.75" customHeight="1">
      <c r="G9" s="33"/>
    </row>
    <row r="10" ht="15.75" customHeight="1">
      <c r="G10" s="33"/>
    </row>
    <row r="11" ht="15.75" customHeight="1">
      <c r="G11" s="33"/>
    </row>
    <row r="12" ht="15.75" customHeight="1">
      <c r="G12" s="33"/>
    </row>
    <row r="13" ht="15.75" customHeight="1">
      <c r="G13" s="33"/>
    </row>
    <row r="14" ht="15.75" customHeight="1">
      <c r="G14" s="33"/>
    </row>
    <row r="15" ht="15.75" customHeight="1">
      <c r="G15" s="33"/>
    </row>
    <row r="16" ht="15.75" customHeight="1">
      <c r="G16" s="33"/>
    </row>
    <row r="17" ht="15.75" customHeight="1">
      <c r="G17" s="33"/>
    </row>
    <row r="18" ht="15.75" customHeight="1">
      <c r="G18" s="33"/>
    </row>
    <row r="19" ht="15.75" customHeight="1">
      <c r="G19" s="33"/>
    </row>
    <row r="20" ht="15.75" customHeight="1">
      <c r="G20" s="33"/>
    </row>
    <row r="21" ht="15.75" customHeight="1">
      <c r="G21" s="33"/>
    </row>
    <row r="22" ht="15.75" customHeight="1">
      <c r="G22" s="33"/>
    </row>
    <row r="23" ht="15.75" customHeight="1">
      <c r="G23" s="33"/>
    </row>
    <row r="24" ht="15.75" customHeight="1">
      <c r="G24" s="33"/>
    </row>
    <row r="25" ht="15.75" customHeight="1">
      <c r="G25" s="33"/>
    </row>
    <row r="26" ht="15.75" customHeight="1">
      <c r="G26" s="33"/>
    </row>
    <row r="27" ht="15.75" customHeight="1">
      <c r="G27" s="33"/>
    </row>
    <row r="28" ht="15.75" customHeight="1">
      <c r="G28" s="33"/>
    </row>
    <row r="29" ht="15.75" customHeight="1">
      <c r="G29" s="33"/>
    </row>
    <row r="30" ht="15.75" customHeight="1">
      <c r="G30" s="33"/>
    </row>
    <row r="31" ht="15.75" customHeight="1">
      <c r="G31" s="5"/>
    </row>
    <row r="32" ht="15.75" customHeight="1">
      <c r="G32" s="5"/>
    </row>
    <row r="33" ht="15.75" customHeight="1">
      <c r="G33" s="5"/>
    </row>
    <row r="34" ht="15.75" customHeight="1">
      <c r="G34" s="5"/>
    </row>
    <row r="35" ht="15.75" customHeight="1">
      <c r="G35" s="5"/>
    </row>
    <row r="36" ht="15.75" customHeight="1">
      <c r="G36" s="5"/>
    </row>
    <row r="37" ht="15.75" customHeight="1">
      <c r="G37" s="5"/>
    </row>
    <row r="38" ht="15.75" customHeight="1">
      <c r="A38" s="3"/>
      <c r="B38" s="3"/>
      <c r="C38" s="3"/>
      <c r="D38" s="3"/>
      <c r="E38" s="4"/>
      <c r="F38" s="3"/>
      <c r="G38" s="5"/>
      <c r="H38" s="3"/>
      <c r="I38" s="3"/>
    </row>
    <row r="39" ht="15.75" customHeight="1">
      <c r="A39" s="3"/>
      <c r="B39" s="3"/>
      <c r="C39" s="3"/>
      <c r="D39" s="3"/>
      <c r="E39" s="4"/>
      <c r="F39" s="3"/>
      <c r="G39" s="5"/>
      <c r="H39" s="3"/>
      <c r="I39" s="3"/>
    </row>
    <row r="40" ht="15.75" customHeight="1">
      <c r="A40" s="3"/>
      <c r="B40" s="3"/>
      <c r="C40" s="3"/>
      <c r="D40" s="3"/>
      <c r="E40" s="4"/>
      <c r="F40" s="3"/>
      <c r="G40" s="5"/>
      <c r="H40" s="3"/>
      <c r="I40" s="3"/>
    </row>
    <row r="41" ht="15.75" customHeight="1">
      <c r="A41" s="3"/>
      <c r="B41" s="3"/>
      <c r="C41" s="3"/>
      <c r="D41" s="3"/>
      <c r="E41" s="4"/>
      <c r="F41" s="3"/>
      <c r="G41" s="5"/>
      <c r="H41" s="3"/>
      <c r="I41" s="3"/>
    </row>
    <row r="42" ht="15.75" customHeight="1">
      <c r="A42" s="3"/>
      <c r="B42" s="3"/>
      <c r="C42" s="3"/>
      <c r="D42" s="3"/>
      <c r="E42" s="4"/>
      <c r="F42" s="3"/>
      <c r="G42" s="5"/>
      <c r="H42" s="3"/>
      <c r="I42" s="3"/>
    </row>
    <row r="43" ht="15.75" customHeight="1">
      <c r="A43" s="3"/>
      <c r="B43" s="3"/>
      <c r="C43" s="3"/>
      <c r="D43" s="3"/>
      <c r="E43" s="4"/>
      <c r="F43" s="3"/>
      <c r="G43" s="5"/>
      <c r="H43" s="3"/>
      <c r="I43" s="3"/>
    </row>
    <row r="44" ht="15.75" customHeight="1">
      <c r="A44" s="3"/>
      <c r="B44" s="3"/>
      <c r="C44" s="3"/>
      <c r="D44" s="3"/>
      <c r="E44" s="4"/>
      <c r="F44" s="3"/>
      <c r="G44" s="5"/>
      <c r="H44" s="3"/>
      <c r="I44" s="3"/>
    </row>
    <row r="45" ht="15.75" customHeight="1">
      <c r="A45" s="3"/>
      <c r="B45" s="3"/>
      <c r="C45" s="3"/>
      <c r="D45" s="3"/>
      <c r="E45" s="4"/>
      <c r="F45" s="3"/>
      <c r="G45" s="5"/>
      <c r="H45" s="3"/>
      <c r="I45" s="3"/>
    </row>
    <row r="46" ht="15.75" customHeight="1">
      <c r="A46" s="3"/>
      <c r="B46" s="3"/>
      <c r="C46" s="3"/>
      <c r="D46" s="3"/>
      <c r="E46" s="4"/>
      <c r="F46" s="3"/>
      <c r="G46" s="5"/>
      <c r="H46" s="3"/>
      <c r="I46" s="3"/>
    </row>
    <row r="47" ht="15.75" customHeight="1">
      <c r="A47" s="3"/>
      <c r="B47" s="3"/>
      <c r="C47" s="3"/>
      <c r="D47" s="3"/>
      <c r="E47" s="4"/>
      <c r="F47" s="3"/>
      <c r="G47" s="5"/>
      <c r="H47" s="3"/>
      <c r="I47" s="3"/>
    </row>
    <row r="48" ht="15.75" customHeight="1">
      <c r="A48" s="3"/>
      <c r="B48" s="3"/>
      <c r="C48" s="3"/>
      <c r="D48" s="3"/>
      <c r="E48" s="4"/>
      <c r="F48" s="3"/>
      <c r="G48" s="5"/>
      <c r="H48" s="3"/>
      <c r="I48" s="3"/>
    </row>
    <row r="49" ht="15.75" customHeight="1">
      <c r="A49" s="3"/>
      <c r="B49" s="3"/>
      <c r="C49" s="3"/>
      <c r="D49" s="3"/>
      <c r="E49" s="4"/>
      <c r="F49" s="3"/>
      <c r="G49" s="5"/>
      <c r="H49" s="3"/>
      <c r="I49" s="3"/>
    </row>
    <row r="50" ht="15.75" customHeight="1">
      <c r="A50" s="3"/>
      <c r="B50" s="3"/>
      <c r="C50" s="3"/>
      <c r="D50" s="3"/>
      <c r="E50" s="4"/>
      <c r="F50" s="3"/>
      <c r="G50" s="5"/>
      <c r="H50" s="3"/>
      <c r="I50" s="3"/>
    </row>
    <row r="51" ht="15.75" customHeight="1">
      <c r="A51" s="3"/>
      <c r="B51" s="3"/>
      <c r="C51" s="3"/>
      <c r="D51" s="3"/>
      <c r="E51" s="4"/>
      <c r="F51" s="3"/>
      <c r="G51" s="5"/>
      <c r="H51" s="3"/>
      <c r="I51" s="3"/>
    </row>
    <row r="52" ht="15.75" customHeight="1">
      <c r="A52" s="3"/>
      <c r="B52" s="3"/>
      <c r="C52" s="3"/>
      <c r="D52" s="3"/>
      <c r="E52" s="4"/>
      <c r="F52" s="3"/>
      <c r="G52" s="5"/>
      <c r="H52" s="3"/>
      <c r="I52" s="3"/>
    </row>
    <row r="53" ht="15.75" customHeight="1">
      <c r="A53" s="3"/>
      <c r="B53" s="3"/>
      <c r="C53" s="3"/>
      <c r="D53" s="3"/>
      <c r="E53" s="4"/>
      <c r="F53" s="3"/>
      <c r="G53" s="5"/>
      <c r="H53" s="3"/>
      <c r="I53" s="3"/>
    </row>
    <row r="54" ht="15.75" customHeight="1">
      <c r="A54" s="3"/>
      <c r="B54" s="3"/>
      <c r="C54" s="3"/>
      <c r="D54" s="3"/>
      <c r="E54" s="4"/>
      <c r="F54" s="3"/>
      <c r="G54" s="5"/>
      <c r="H54" s="3"/>
      <c r="I54" s="3"/>
    </row>
    <row r="55" ht="15.75" customHeight="1">
      <c r="A55" s="3"/>
      <c r="B55" s="3"/>
      <c r="C55" s="3"/>
      <c r="D55" s="3"/>
      <c r="E55" s="4"/>
      <c r="F55" s="3"/>
      <c r="G55" s="5"/>
      <c r="H55" s="3"/>
      <c r="I55" s="3"/>
    </row>
    <row r="56" ht="15.75" customHeight="1">
      <c r="A56" s="3"/>
      <c r="B56" s="3"/>
      <c r="C56" s="3"/>
      <c r="D56" s="3"/>
      <c r="E56" s="4"/>
      <c r="F56" s="3"/>
      <c r="G56" s="5"/>
      <c r="H56" s="3"/>
      <c r="I56" s="3"/>
    </row>
    <row r="57" ht="15.75" customHeight="1">
      <c r="A57" s="3"/>
      <c r="B57" s="3"/>
      <c r="C57" s="3"/>
      <c r="D57" s="3"/>
      <c r="E57" s="4"/>
      <c r="F57" s="3"/>
      <c r="G57" s="5"/>
      <c r="H57" s="3"/>
      <c r="I57" s="3"/>
    </row>
    <row r="58" ht="15.75" customHeight="1">
      <c r="A58" s="3"/>
      <c r="B58" s="3"/>
      <c r="C58" s="3"/>
      <c r="D58" s="3"/>
      <c r="E58" s="4"/>
      <c r="F58" s="3"/>
      <c r="G58" s="5"/>
      <c r="H58" s="3"/>
      <c r="I58" s="3"/>
    </row>
    <row r="59" ht="15.75" customHeight="1">
      <c r="A59" s="3"/>
      <c r="B59" s="3"/>
      <c r="C59" s="3"/>
      <c r="D59" s="3"/>
      <c r="E59" s="4"/>
      <c r="F59" s="3"/>
      <c r="G59" s="5"/>
      <c r="H59" s="3"/>
      <c r="I59" s="3"/>
    </row>
    <row r="60" ht="15.75" customHeight="1">
      <c r="A60" s="3"/>
      <c r="B60" s="3"/>
      <c r="C60" s="3"/>
      <c r="D60" s="3"/>
      <c r="E60" s="4"/>
      <c r="F60" s="3"/>
      <c r="G60" s="5"/>
      <c r="H60" s="3"/>
      <c r="I60" s="3"/>
    </row>
    <row r="61" ht="15.75" customHeight="1">
      <c r="A61" s="3"/>
      <c r="B61" s="3"/>
      <c r="C61" s="3"/>
      <c r="D61" s="3"/>
      <c r="E61" s="4"/>
      <c r="F61" s="3"/>
      <c r="G61" s="5"/>
      <c r="H61" s="3"/>
      <c r="I61" s="3"/>
    </row>
    <row r="62" ht="15.75" customHeight="1">
      <c r="A62" s="3"/>
      <c r="B62" s="3"/>
      <c r="C62" s="3"/>
      <c r="D62" s="3"/>
      <c r="E62" s="4"/>
      <c r="F62" s="3"/>
      <c r="G62" s="5"/>
      <c r="H62" s="3"/>
      <c r="I62" s="3"/>
    </row>
    <row r="63" ht="15.75" customHeight="1">
      <c r="A63" s="3"/>
      <c r="B63" s="3"/>
      <c r="C63" s="3"/>
      <c r="D63" s="3"/>
      <c r="E63" s="4"/>
      <c r="F63" s="3"/>
      <c r="G63" s="5"/>
      <c r="H63" s="3"/>
      <c r="I63" s="3"/>
    </row>
    <row r="64" ht="15.75" customHeight="1">
      <c r="A64" s="3"/>
      <c r="B64" s="3"/>
      <c r="C64" s="3"/>
      <c r="D64" s="3"/>
      <c r="E64" s="4"/>
      <c r="F64" s="3"/>
      <c r="G64" s="5"/>
      <c r="H64" s="3"/>
      <c r="I64" s="3"/>
    </row>
    <row r="65" ht="15.75" customHeight="1">
      <c r="A65" s="3"/>
      <c r="B65" s="3"/>
      <c r="C65" s="3"/>
      <c r="D65" s="3"/>
      <c r="E65" s="4"/>
      <c r="F65" s="3"/>
      <c r="G65" s="5"/>
      <c r="H65" s="3"/>
      <c r="I65" s="3"/>
    </row>
    <row r="66" ht="15.75" customHeight="1">
      <c r="A66" s="3"/>
      <c r="B66" s="3"/>
      <c r="C66" s="3"/>
      <c r="D66" s="3"/>
      <c r="E66" s="4"/>
      <c r="F66" s="3"/>
      <c r="G66" s="5"/>
      <c r="H66" s="3"/>
      <c r="I66" s="3"/>
    </row>
    <row r="67" ht="15.75" customHeight="1">
      <c r="A67" s="3"/>
      <c r="B67" s="3"/>
      <c r="C67" s="3"/>
      <c r="D67" s="3"/>
      <c r="E67" s="4"/>
      <c r="F67" s="3"/>
      <c r="G67" s="5"/>
      <c r="H67" s="3"/>
      <c r="I67" s="3"/>
    </row>
    <row r="68" ht="15.75" customHeight="1">
      <c r="A68" s="3"/>
      <c r="B68" s="3"/>
      <c r="C68" s="3"/>
      <c r="D68" s="3"/>
      <c r="E68" s="4"/>
      <c r="F68" s="3"/>
      <c r="G68" s="5"/>
      <c r="H68" s="3"/>
      <c r="I68" s="3"/>
    </row>
    <row r="69" ht="15.75" customHeight="1">
      <c r="A69" s="3"/>
      <c r="B69" s="3"/>
      <c r="C69" s="3"/>
      <c r="D69" s="3"/>
      <c r="E69" s="4"/>
      <c r="F69" s="3"/>
      <c r="G69" s="5"/>
      <c r="H69" s="3"/>
      <c r="I69" s="3"/>
    </row>
    <row r="70" ht="15.75" customHeight="1">
      <c r="A70" s="3"/>
      <c r="B70" s="3"/>
      <c r="C70" s="3"/>
      <c r="D70" s="3"/>
      <c r="E70" s="4"/>
      <c r="F70" s="3"/>
      <c r="G70" s="5"/>
      <c r="H70" s="3"/>
      <c r="I70" s="3"/>
    </row>
    <row r="71" ht="15.75" customHeight="1">
      <c r="A71" s="3"/>
      <c r="B71" s="3"/>
      <c r="C71" s="3"/>
      <c r="D71" s="3"/>
      <c r="E71" s="4"/>
      <c r="F71" s="3"/>
      <c r="G71" s="5"/>
      <c r="H71" s="3"/>
      <c r="I71" s="3"/>
    </row>
    <row r="72" ht="15.75" customHeight="1">
      <c r="A72" s="3"/>
      <c r="B72" s="3"/>
      <c r="C72" s="3"/>
      <c r="D72" s="3"/>
      <c r="E72" s="4"/>
      <c r="F72" s="3"/>
      <c r="G72" s="5"/>
      <c r="H72" s="3"/>
      <c r="I72" s="3"/>
    </row>
    <row r="73" ht="15.75" customHeight="1">
      <c r="A73" s="3"/>
      <c r="B73" s="3"/>
      <c r="C73" s="3"/>
      <c r="D73" s="3"/>
      <c r="E73" s="4"/>
      <c r="F73" s="3"/>
      <c r="G73" s="5"/>
      <c r="H73" s="3"/>
      <c r="I73" s="3"/>
    </row>
    <row r="74" ht="15.75" customHeight="1">
      <c r="A74" s="3"/>
      <c r="B74" s="3"/>
      <c r="C74" s="3"/>
      <c r="D74" s="3"/>
      <c r="E74" s="4"/>
      <c r="F74" s="3"/>
      <c r="G74" s="5"/>
      <c r="H74" s="3"/>
      <c r="I74" s="3"/>
    </row>
    <row r="75" ht="15.75" customHeight="1">
      <c r="A75" s="3"/>
      <c r="B75" s="3"/>
      <c r="C75" s="3"/>
      <c r="D75" s="3"/>
      <c r="E75" s="4"/>
      <c r="F75" s="3"/>
      <c r="G75" s="5"/>
      <c r="H75" s="3"/>
      <c r="I75" s="3"/>
    </row>
    <row r="76" ht="15.75" customHeight="1">
      <c r="A76" s="3"/>
      <c r="B76" s="3"/>
      <c r="C76" s="3"/>
      <c r="D76" s="3"/>
      <c r="E76" s="4"/>
      <c r="F76" s="3"/>
      <c r="G76" s="5"/>
      <c r="H76" s="3"/>
      <c r="I76" s="3"/>
    </row>
    <row r="77" ht="15.75" customHeight="1">
      <c r="A77" s="3"/>
      <c r="B77" s="3"/>
      <c r="C77" s="3"/>
      <c r="D77" s="3"/>
      <c r="E77" s="4"/>
      <c r="F77" s="3"/>
      <c r="G77" s="5"/>
      <c r="H77" s="3"/>
      <c r="I77" s="3"/>
    </row>
    <row r="78" ht="15.75" customHeight="1">
      <c r="A78" s="3"/>
      <c r="B78" s="3"/>
      <c r="C78" s="3"/>
      <c r="D78" s="3"/>
      <c r="E78" s="4"/>
      <c r="F78" s="3"/>
      <c r="G78" s="5"/>
      <c r="H78" s="3"/>
      <c r="I78" s="3"/>
    </row>
    <row r="79" ht="15.75" customHeight="1">
      <c r="A79" s="3"/>
      <c r="B79" s="3"/>
      <c r="C79" s="3"/>
      <c r="D79" s="3"/>
      <c r="E79" s="4"/>
      <c r="F79" s="3"/>
      <c r="G79" s="5"/>
      <c r="H79" s="3"/>
      <c r="I79" s="3"/>
    </row>
    <row r="80" ht="15.75" customHeight="1">
      <c r="A80" s="3"/>
      <c r="B80" s="3"/>
      <c r="C80" s="3"/>
      <c r="D80" s="3"/>
      <c r="E80" s="4"/>
      <c r="F80" s="3"/>
      <c r="G80" s="5"/>
      <c r="H80" s="3"/>
      <c r="I80" s="3"/>
    </row>
    <row r="81" ht="15.75" customHeight="1">
      <c r="A81" s="3"/>
      <c r="B81" s="3"/>
      <c r="C81" s="3"/>
      <c r="D81" s="3"/>
      <c r="E81" s="4"/>
      <c r="F81" s="3"/>
      <c r="G81" s="5"/>
      <c r="H81" s="3"/>
      <c r="I81" s="3"/>
    </row>
    <row r="82" ht="15.75" customHeight="1">
      <c r="A82" s="3"/>
      <c r="B82" s="3"/>
      <c r="C82" s="3"/>
      <c r="D82" s="3"/>
      <c r="E82" s="4"/>
      <c r="F82" s="3"/>
      <c r="G82" s="5"/>
      <c r="H82" s="3"/>
      <c r="I82" s="3"/>
    </row>
    <row r="83" ht="15.75" customHeight="1">
      <c r="A83" s="3"/>
      <c r="B83" s="3"/>
      <c r="C83" s="3"/>
      <c r="D83" s="3"/>
      <c r="E83" s="4"/>
      <c r="F83" s="3"/>
      <c r="G83" s="5"/>
      <c r="H83" s="3"/>
      <c r="I83" s="3"/>
    </row>
    <row r="84" ht="15.75" customHeight="1">
      <c r="A84" s="3"/>
      <c r="B84" s="3"/>
      <c r="C84" s="3"/>
      <c r="D84" s="3"/>
      <c r="E84" s="4"/>
      <c r="F84" s="3"/>
      <c r="G84" s="5"/>
      <c r="H84" s="3"/>
      <c r="I84" s="3"/>
    </row>
    <row r="85" ht="15.75" customHeight="1">
      <c r="A85" s="3"/>
      <c r="B85" s="3"/>
      <c r="C85" s="3"/>
      <c r="D85" s="3"/>
      <c r="E85" s="4"/>
      <c r="F85" s="3"/>
      <c r="G85" s="5"/>
      <c r="H85" s="3"/>
      <c r="I85" s="3"/>
    </row>
    <row r="86" ht="15.75" customHeight="1">
      <c r="A86" s="3"/>
      <c r="B86" s="3"/>
      <c r="C86" s="3"/>
      <c r="D86" s="3"/>
      <c r="E86" s="4"/>
      <c r="F86" s="3"/>
      <c r="G86" s="5"/>
      <c r="H86" s="3"/>
      <c r="I86" s="3"/>
    </row>
    <row r="87" ht="15.75" customHeight="1">
      <c r="A87" s="3"/>
      <c r="B87" s="3"/>
      <c r="C87" s="3"/>
      <c r="D87" s="3"/>
      <c r="E87" s="4"/>
      <c r="F87" s="3"/>
      <c r="G87" s="5"/>
      <c r="H87" s="3"/>
      <c r="I87" s="3"/>
    </row>
    <row r="88" ht="15.75" customHeight="1">
      <c r="A88" s="3"/>
      <c r="B88" s="3"/>
      <c r="C88" s="3"/>
      <c r="D88" s="3"/>
      <c r="E88" s="4"/>
      <c r="F88" s="3"/>
      <c r="G88" s="5"/>
      <c r="H88" s="3"/>
      <c r="I88" s="3"/>
    </row>
    <row r="89" ht="15.75" customHeight="1">
      <c r="A89" s="3"/>
      <c r="B89" s="3"/>
      <c r="C89" s="3"/>
      <c r="D89" s="3"/>
      <c r="E89" s="4"/>
      <c r="F89" s="3"/>
      <c r="G89" s="5"/>
      <c r="H89" s="3"/>
      <c r="I89" s="3"/>
    </row>
    <row r="90" ht="15.75" customHeight="1">
      <c r="A90" s="3"/>
      <c r="B90" s="3"/>
      <c r="C90" s="3"/>
      <c r="D90" s="3"/>
      <c r="E90" s="4"/>
      <c r="F90" s="3"/>
      <c r="G90" s="5"/>
      <c r="H90" s="3"/>
      <c r="I90" s="3"/>
    </row>
    <row r="91" ht="15.75" customHeight="1">
      <c r="A91" s="3"/>
      <c r="B91" s="3"/>
      <c r="C91" s="3"/>
      <c r="D91" s="3"/>
      <c r="E91" s="4"/>
      <c r="F91" s="3"/>
      <c r="G91" s="5"/>
      <c r="H91" s="3"/>
      <c r="I91" s="3"/>
    </row>
    <row r="92" ht="15.75" customHeight="1">
      <c r="A92" s="3"/>
      <c r="B92" s="3"/>
      <c r="C92" s="3"/>
      <c r="D92" s="3"/>
      <c r="E92" s="4"/>
      <c r="F92" s="3"/>
      <c r="G92" s="5"/>
      <c r="H92" s="3"/>
      <c r="I92" s="3"/>
    </row>
    <row r="93" ht="15.75" customHeight="1">
      <c r="A93" s="3"/>
      <c r="B93" s="3"/>
      <c r="C93" s="3"/>
      <c r="D93" s="3"/>
      <c r="E93" s="4"/>
      <c r="F93" s="3"/>
      <c r="G93" s="5"/>
      <c r="H93" s="3"/>
      <c r="I93" s="3"/>
    </row>
    <row r="94" ht="15.75" customHeight="1">
      <c r="A94" s="3"/>
      <c r="B94" s="3"/>
      <c r="C94" s="3"/>
      <c r="D94" s="3"/>
      <c r="E94" s="4"/>
      <c r="F94" s="3"/>
      <c r="G94" s="5"/>
      <c r="H94" s="3"/>
      <c r="I94" s="3"/>
    </row>
    <row r="95" ht="15.75" customHeight="1">
      <c r="A95" s="3"/>
      <c r="B95" s="3"/>
      <c r="C95" s="3"/>
      <c r="D95" s="3"/>
      <c r="E95" s="4"/>
      <c r="F95" s="3"/>
      <c r="G95" s="5"/>
      <c r="H95" s="3"/>
      <c r="I95" s="3"/>
    </row>
    <row r="96" ht="15.75" customHeight="1">
      <c r="A96" s="3"/>
      <c r="B96" s="3"/>
      <c r="C96" s="3"/>
      <c r="D96" s="3"/>
      <c r="E96" s="4"/>
      <c r="F96" s="3"/>
      <c r="G96" s="5"/>
      <c r="H96" s="3"/>
      <c r="I96" s="3"/>
    </row>
    <row r="97" ht="15.75" customHeight="1">
      <c r="A97" s="3"/>
      <c r="B97" s="3"/>
      <c r="C97" s="3"/>
      <c r="D97" s="3"/>
      <c r="E97" s="4"/>
      <c r="F97" s="3"/>
      <c r="G97" s="5"/>
      <c r="H97" s="3"/>
      <c r="I97" s="3"/>
    </row>
    <row r="98" ht="15.75" customHeight="1">
      <c r="A98" s="3"/>
      <c r="B98" s="3"/>
      <c r="C98" s="3"/>
      <c r="D98" s="3"/>
      <c r="E98" s="4"/>
      <c r="F98" s="3"/>
      <c r="G98" s="5"/>
      <c r="H98" s="3"/>
      <c r="I98" s="3"/>
    </row>
    <row r="99" ht="15.75" customHeight="1">
      <c r="A99" s="3"/>
      <c r="B99" s="3"/>
      <c r="C99" s="3"/>
      <c r="D99" s="3"/>
      <c r="E99" s="4"/>
      <c r="F99" s="3"/>
      <c r="G99" s="5"/>
      <c r="H99" s="3"/>
      <c r="I99" s="3"/>
    </row>
    <row r="100" ht="15.75" customHeight="1">
      <c r="A100" s="3"/>
      <c r="B100" s="3"/>
      <c r="C100" s="3"/>
      <c r="D100" s="3"/>
      <c r="E100" s="4"/>
      <c r="F100" s="3"/>
      <c r="G100" s="5"/>
      <c r="H100" s="3"/>
      <c r="I100" s="3"/>
    </row>
    <row r="101" ht="15.75" customHeight="1">
      <c r="A101" s="3"/>
      <c r="B101" s="3"/>
      <c r="C101" s="3"/>
      <c r="D101" s="3"/>
      <c r="E101" s="4"/>
      <c r="F101" s="3"/>
      <c r="G101" s="5"/>
      <c r="H101" s="3"/>
      <c r="I101" s="3"/>
    </row>
    <row r="102" ht="15.75" customHeight="1">
      <c r="A102" s="3"/>
      <c r="B102" s="3"/>
      <c r="C102" s="3"/>
      <c r="D102" s="3"/>
      <c r="E102" s="4"/>
      <c r="F102" s="3"/>
      <c r="G102" s="5"/>
      <c r="H102" s="3"/>
      <c r="I102" s="3"/>
    </row>
    <row r="103" ht="15.75" customHeight="1">
      <c r="A103" s="3"/>
      <c r="B103" s="3"/>
      <c r="C103" s="3"/>
      <c r="D103" s="3"/>
      <c r="E103" s="4"/>
      <c r="F103" s="3"/>
      <c r="G103" s="5"/>
      <c r="H103" s="3"/>
      <c r="I103" s="3"/>
    </row>
    <row r="104" ht="15.75" customHeight="1">
      <c r="A104" s="3"/>
      <c r="B104" s="3"/>
      <c r="C104" s="3"/>
      <c r="D104" s="3"/>
      <c r="E104" s="4"/>
      <c r="F104" s="3"/>
      <c r="G104" s="5"/>
      <c r="H104" s="3"/>
      <c r="I104" s="3"/>
    </row>
    <row r="105" ht="15.75" customHeight="1">
      <c r="A105" s="3"/>
      <c r="B105" s="3"/>
      <c r="C105" s="3"/>
      <c r="D105" s="3"/>
      <c r="E105" s="4"/>
      <c r="F105" s="3"/>
      <c r="G105" s="5"/>
      <c r="H105" s="3"/>
      <c r="I105" s="3"/>
    </row>
    <row r="106" ht="15.75" customHeight="1">
      <c r="A106" s="3"/>
      <c r="B106" s="3"/>
      <c r="C106" s="3"/>
      <c r="D106" s="3"/>
      <c r="E106" s="4"/>
      <c r="F106" s="3"/>
      <c r="G106" s="5"/>
      <c r="H106" s="3"/>
      <c r="I106" s="3"/>
    </row>
    <row r="107" ht="15.75" customHeight="1">
      <c r="A107" s="3"/>
      <c r="B107" s="3"/>
      <c r="C107" s="3"/>
      <c r="D107" s="3"/>
      <c r="E107" s="4"/>
      <c r="F107" s="3"/>
      <c r="G107" s="5"/>
      <c r="H107" s="3"/>
      <c r="I107" s="3"/>
    </row>
    <row r="108" ht="15.75" customHeight="1">
      <c r="A108" s="3"/>
      <c r="B108" s="3"/>
      <c r="C108" s="3"/>
      <c r="D108" s="3"/>
      <c r="E108" s="4"/>
      <c r="F108" s="3"/>
      <c r="G108" s="5"/>
      <c r="H108" s="3"/>
      <c r="I108" s="3"/>
    </row>
    <row r="109" ht="15.75" customHeight="1">
      <c r="A109" s="3"/>
      <c r="B109" s="3"/>
      <c r="C109" s="3"/>
      <c r="D109" s="3"/>
      <c r="E109" s="4"/>
      <c r="F109" s="3"/>
      <c r="G109" s="5"/>
      <c r="H109" s="3"/>
      <c r="I109" s="3"/>
    </row>
    <row r="110" ht="15.75" customHeight="1">
      <c r="A110" s="3"/>
      <c r="B110" s="3"/>
      <c r="C110" s="3"/>
      <c r="D110" s="3"/>
      <c r="E110" s="4"/>
      <c r="F110" s="3"/>
      <c r="G110" s="5"/>
      <c r="H110" s="3"/>
      <c r="I110" s="3"/>
    </row>
    <row r="111" ht="15.75" customHeight="1">
      <c r="A111" s="3"/>
      <c r="B111" s="3"/>
      <c r="C111" s="3"/>
      <c r="D111" s="3"/>
      <c r="E111" s="4"/>
      <c r="F111" s="3"/>
      <c r="G111" s="5"/>
      <c r="H111" s="3"/>
      <c r="I111" s="3"/>
    </row>
    <row r="112" ht="15.75" customHeight="1">
      <c r="A112" s="3"/>
      <c r="B112" s="3"/>
      <c r="C112" s="3"/>
      <c r="D112" s="3"/>
      <c r="E112" s="4"/>
      <c r="F112" s="3"/>
      <c r="G112" s="5"/>
      <c r="H112" s="3"/>
      <c r="I112" s="3"/>
    </row>
    <row r="113" ht="15.75" customHeight="1">
      <c r="A113" s="3"/>
      <c r="B113" s="3"/>
      <c r="C113" s="3"/>
      <c r="D113" s="3"/>
      <c r="E113" s="4"/>
      <c r="F113" s="3"/>
      <c r="G113" s="5"/>
      <c r="H113" s="3"/>
      <c r="I113" s="3"/>
    </row>
    <row r="114" ht="15.75" customHeight="1">
      <c r="A114" s="3"/>
      <c r="B114" s="3"/>
      <c r="C114" s="3"/>
      <c r="D114" s="3"/>
      <c r="E114" s="4"/>
      <c r="F114" s="3"/>
      <c r="G114" s="5"/>
      <c r="H114" s="3"/>
      <c r="I114" s="3"/>
    </row>
    <row r="115" ht="15.75" customHeight="1">
      <c r="A115" s="3"/>
      <c r="B115" s="3"/>
      <c r="C115" s="3"/>
      <c r="D115" s="3"/>
      <c r="E115" s="4"/>
      <c r="F115" s="3"/>
      <c r="G115" s="5"/>
      <c r="H115" s="3"/>
      <c r="I115" s="3"/>
    </row>
    <row r="116" ht="15.75" customHeight="1">
      <c r="A116" s="3"/>
      <c r="B116" s="3"/>
      <c r="C116" s="3"/>
      <c r="D116" s="3"/>
      <c r="E116" s="4"/>
      <c r="F116" s="3"/>
      <c r="G116" s="5"/>
      <c r="H116" s="3"/>
      <c r="I116" s="3"/>
    </row>
    <row r="117" ht="15.75" customHeight="1">
      <c r="A117" s="3"/>
      <c r="B117" s="3"/>
      <c r="C117" s="3"/>
      <c r="D117" s="3"/>
      <c r="E117" s="4"/>
      <c r="F117" s="3"/>
      <c r="G117" s="5"/>
      <c r="H117" s="3"/>
      <c r="I117" s="3"/>
    </row>
    <row r="118" ht="15.75" customHeight="1">
      <c r="A118" s="3"/>
      <c r="B118" s="3"/>
      <c r="C118" s="3"/>
      <c r="D118" s="3"/>
      <c r="E118" s="4"/>
      <c r="F118" s="3"/>
      <c r="G118" s="5"/>
      <c r="H118" s="3"/>
      <c r="I118" s="3"/>
    </row>
    <row r="119" ht="15.75" customHeight="1">
      <c r="A119" s="3"/>
      <c r="B119" s="3"/>
      <c r="C119" s="3"/>
      <c r="D119" s="3"/>
      <c r="E119" s="4"/>
      <c r="F119" s="3"/>
      <c r="G119" s="5"/>
      <c r="H119" s="3"/>
      <c r="I119" s="3"/>
    </row>
    <row r="120" ht="15.75" customHeight="1">
      <c r="A120" s="3"/>
      <c r="B120" s="3"/>
      <c r="C120" s="3"/>
      <c r="D120" s="3"/>
      <c r="E120" s="4"/>
      <c r="F120" s="3"/>
      <c r="G120" s="5"/>
      <c r="H120" s="3"/>
      <c r="I120" s="3"/>
    </row>
    <row r="121" ht="15.75" customHeight="1">
      <c r="A121" s="3"/>
      <c r="B121" s="3"/>
      <c r="C121" s="3"/>
      <c r="D121" s="3"/>
      <c r="E121" s="4"/>
      <c r="F121" s="3"/>
      <c r="G121" s="5"/>
      <c r="H121" s="3"/>
      <c r="I121" s="3"/>
    </row>
    <row r="122" ht="15.75" customHeight="1">
      <c r="A122" s="3"/>
      <c r="B122" s="3"/>
      <c r="C122" s="3"/>
      <c r="D122" s="3"/>
      <c r="E122" s="4"/>
      <c r="F122" s="3"/>
      <c r="G122" s="5"/>
      <c r="H122" s="3"/>
      <c r="I122" s="3"/>
    </row>
    <row r="123" ht="15.75" customHeight="1">
      <c r="A123" s="3"/>
      <c r="B123" s="3"/>
      <c r="C123" s="3"/>
      <c r="D123" s="3"/>
      <c r="E123" s="4"/>
      <c r="F123" s="3"/>
      <c r="G123" s="5"/>
      <c r="H123" s="3"/>
      <c r="I123" s="3"/>
    </row>
    <row r="124" ht="15.75" customHeight="1">
      <c r="A124" s="3"/>
      <c r="B124" s="3"/>
      <c r="C124" s="3"/>
      <c r="D124" s="3"/>
      <c r="E124" s="4"/>
      <c r="F124" s="3"/>
      <c r="G124" s="5"/>
      <c r="H124" s="3"/>
      <c r="I124" s="3"/>
    </row>
    <row r="125" ht="15.75" customHeight="1">
      <c r="A125" s="3"/>
      <c r="B125" s="3"/>
      <c r="C125" s="3"/>
      <c r="D125" s="3"/>
      <c r="E125" s="4"/>
      <c r="F125" s="3"/>
      <c r="G125" s="5"/>
      <c r="H125" s="3"/>
      <c r="I125" s="3"/>
    </row>
    <row r="126" ht="15.75" customHeight="1">
      <c r="A126" s="3"/>
      <c r="B126" s="3"/>
      <c r="C126" s="3"/>
      <c r="D126" s="3"/>
      <c r="E126" s="4"/>
      <c r="F126" s="3"/>
      <c r="G126" s="5"/>
      <c r="H126" s="3"/>
      <c r="I126" s="3"/>
    </row>
    <row r="127" ht="15.75" customHeight="1">
      <c r="A127" s="3"/>
      <c r="B127" s="3"/>
      <c r="C127" s="3"/>
      <c r="D127" s="3"/>
      <c r="E127" s="4"/>
      <c r="F127" s="3"/>
      <c r="G127" s="5"/>
      <c r="H127" s="3"/>
      <c r="I127" s="3"/>
    </row>
    <row r="128" ht="15.75" customHeight="1">
      <c r="A128" s="3"/>
      <c r="B128" s="3"/>
      <c r="C128" s="3"/>
      <c r="D128" s="3"/>
      <c r="E128" s="4"/>
      <c r="F128" s="3"/>
      <c r="G128" s="5"/>
      <c r="H128" s="3"/>
      <c r="I128" s="3"/>
    </row>
    <row r="129" ht="15.75" customHeight="1">
      <c r="A129" s="3"/>
      <c r="B129" s="3"/>
      <c r="C129" s="3"/>
      <c r="D129" s="3"/>
      <c r="E129" s="4"/>
      <c r="F129" s="3"/>
      <c r="G129" s="5"/>
      <c r="H129" s="3"/>
      <c r="I129" s="3"/>
    </row>
    <row r="130" ht="15.75" customHeight="1">
      <c r="A130" s="3"/>
      <c r="B130" s="3"/>
      <c r="C130" s="3"/>
      <c r="D130" s="3"/>
      <c r="E130" s="4"/>
      <c r="F130" s="3"/>
      <c r="G130" s="5"/>
      <c r="H130" s="3"/>
      <c r="I130" s="3"/>
    </row>
    <row r="131" ht="15.75" customHeight="1">
      <c r="A131" s="3"/>
      <c r="B131" s="3"/>
      <c r="C131" s="3"/>
      <c r="D131" s="3"/>
      <c r="E131" s="4"/>
      <c r="F131" s="3"/>
      <c r="G131" s="5"/>
      <c r="H131" s="3"/>
      <c r="I131" s="3"/>
    </row>
    <row r="132" ht="15.75" customHeight="1">
      <c r="A132" s="3"/>
      <c r="B132" s="3"/>
      <c r="C132" s="3"/>
      <c r="D132" s="3"/>
      <c r="E132" s="4"/>
      <c r="F132" s="3"/>
      <c r="G132" s="5"/>
      <c r="H132" s="3"/>
      <c r="I132" s="3"/>
    </row>
    <row r="133" ht="15.75" customHeight="1">
      <c r="A133" s="3"/>
      <c r="B133" s="3"/>
      <c r="C133" s="3"/>
      <c r="D133" s="3"/>
      <c r="E133" s="4"/>
      <c r="F133" s="3"/>
      <c r="G133" s="5"/>
      <c r="H133" s="3"/>
      <c r="I133" s="3"/>
    </row>
    <row r="134" ht="15.75" customHeight="1">
      <c r="A134" s="3"/>
      <c r="B134" s="3"/>
      <c r="C134" s="3"/>
      <c r="D134" s="3"/>
      <c r="E134" s="4"/>
      <c r="F134" s="3"/>
      <c r="G134" s="5"/>
      <c r="H134" s="3"/>
      <c r="I134" s="3"/>
    </row>
    <row r="135" ht="15.75" customHeight="1">
      <c r="A135" s="3"/>
      <c r="B135" s="3"/>
      <c r="C135" s="3"/>
      <c r="D135" s="3"/>
      <c r="E135" s="4"/>
      <c r="F135" s="3"/>
      <c r="G135" s="5"/>
      <c r="H135" s="3"/>
      <c r="I135" s="3"/>
    </row>
    <row r="136" ht="15.75" customHeight="1">
      <c r="A136" s="3"/>
      <c r="B136" s="3"/>
      <c r="C136" s="3"/>
      <c r="D136" s="3"/>
      <c r="E136" s="4"/>
      <c r="F136" s="3"/>
      <c r="G136" s="5"/>
      <c r="H136" s="3"/>
      <c r="I136" s="3"/>
    </row>
    <row r="137" ht="15.75" customHeight="1">
      <c r="A137" s="3"/>
      <c r="B137" s="3"/>
      <c r="C137" s="3"/>
      <c r="D137" s="3"/>
      <c r="E137" s="4"/>
      <c r="F137" s="3"/>
      <c r="G137" s="5"/>
      <c r="H137" s="3"/>
      <c r="I137" s="3"/>
    </row>
    <row r="138" ht="15.75" customHeight="1">
      <c r="A138" s="3"/>
      <c r="B138" s="3"/>
      <c r="C138" s="3"/>
      <c r="D138" s="3"/>
      <c r="E138" s="4"/>
      <c r="F138" s="3"/>
      <c r="G138" s="5"/>
      <c r="H138" s="3"/>
      <c r="I138" s="3"/>
    </row>
    <row r="139" ht="15.75" customHeight="1">
      <c r="A139" s="3"/>
      <c r="B139" s="3"/>
      <c r="C139" s="3"/>
      <c r="D139" s="3"/>
      <c r="E139" s="4"/>
      <c r="F139" s="3"/>
      <c r="G139" s="5"/>
      <c r="H139" s="3"/>
      <c r="I139" s="3"/>
    </row>
    <row r="140" ht="15.75" customHeight="1">
      <c r="A140" s="3"/>
      <c r="B140" s="3"/>
      <c r="C140" s="3"/>
      <c r="D140" s="3"/>
      <c r="E140" s="4"/>
      <c r="F140" s="3"/>
      <c r="G140" s="5"/>
      <c r="H140" s="3"/>
      <c r="I140" s="3"/>
    </row>
    <row r="141" ht="15.75" customHeight="1">
      <c r="A141" s="3"/>
      <c r="B141" s="3"/>
      <c r="C141" s="3"/>
      <c r="D141" s="3"/>
      <c r="E141" s="4"/>
      <c r="F141" s="3"/>
      <c r="G141" s="5"/>
      <c r="H141" s="3"/>
      <c r="I141" s="3"/>
    </row>
    <row r="142" ht="15.75" customHeight="1">
      <c r="A142" s="3"/>
      <c r="B142" s="3"/>
      <c r="C142" s="3"/>
      <c r="D142" s="3"/>
      <c r="E142" s="4"/>
      <c r="F142" s="3"/>
      <c r="G142" s="5"/>
      <c r="H142" s="3"/>
      <c r="I142" s="3"/>
    </row>
    <row r="143" ht="15.75" customHeight="1">
      <c r="A143" s="3"/>
      <c r="B143" s="3"/>
      <c r="C143" s="3"/>
      <c r="D143" s="3"/>
      <c r="E143" s="4"/>
      <c r="F143" s="3"/>
      <c r="G143" s="5"/>
      <c r="H143" s="3"/>
      <c r="I143" s="3"/>
    </row>
    <row r="144" ht="15.75" customHeight="1">
      <c r="A144" s="3"/>
      <c r="B144" s="3"/>
      <c r="C144" s="3"/>
      <c r="D144" s="3"/>
      <c r="E144" s="4"/>
      <c r="F144" s="3"/>
      <c r="G144" s="5"/>
      <c r="H144" s="3"/>
      <c r="I144" s="3"/>
    </row>
    <row r="145" ht="15.75" customHeight="1">
      <c r="A145" s="3"/>
      <c r="B145" s="3"/>
      <c r="C145" s="3"/>
      <c r="D145" s="3"/>
      <c r="E145" s="4"/>
      <c r="F145" s="3"/>
      <c r="G145" s="5"/>
      <c r="H145" s="3"/>
      <c r="I145" s="3"/>
    </row>
    <row r="146" ht="15.75" customHeight="1">
      <c r="A146" s="3"/>
      <c r="B146" s="3"/>
      <c r="C146" s="3"/>
      <c r="D146" s="3"/>
      <c r="E146" s="4"/>
      <c r="F146" s="3"/>
      <c r="G146" s="5"/>
      <c r="H146" s="3"/>
      <c r="I146" s="3"/>
    </row>
    <row r="147" ht="15.75" customHeight="1">
      <c r="A147" s="3"/>
      <c r="B147" s="3"/>
      <c r="C147" s="3"/>
      <c r="D147" s="3"/>
      <c r="E147" s="4"/>
      <c r="F147" s="3"/>
      <c r="G147" s="5"/>
      <c r="H147" s="3"/>
      <c r="I147" s="3"/>
    </row>
    <row r="148" ht="15.75" customHeight="1">
      <c r="A148" s="3"/>
      <c r="B148" s="3"/>
      <c r="C148" s="3"/>
      <c r="D148" s="3"/>
      <c r="E148" s="4"/>
      <c r="F148" s="3"/>
      <c r="G148" s="5"/>
      <c r="H148" s="3"/>
      <c r="I148" s="3"/>
    </row>
    <row r="149" ht="15.75" customHeight="1">
      <c r="A149" s="3"/>
      <c r="B149" s="3"/>
      <c r="C149" s="3"/>
      <c r="D149" s="3"/>
      <c r="E149" s="4"/>
      <c r="F149" s="3"/>
      <c r="G149" s="5"/>
      <c r="H149" s="3"/>
      <c r="I149" s="3"/>
    </row>
    <row r="150" ht="15.75" customHeight="1">
      <c r="A150" s="3"/>
      <c r="B150" s="3"/>
      <c r="C150" s="3"/>
      <c r="D150" s="3"/>
      <c r="E150" s="4"/>
      <c r="F150" s="3"/>
      <c r="G150" s="5"/>
      <c r="H150" s="3"/>
      <c r="I150" s="3"/>
    </row>
    <row r="151" ht="15.75" customHeight="1">
      <c r="A151" s="3"/>
      <c r="B151" s="3"/>
      <c r="C151" s="3"/>
      <c r="D151" s="3"/>
      <c r="E151" s="4"/>
      <c r="F151" s="3"/>
      <c r="G151" s="5"/>
      <c r="H151" s="3"/>
      <c r="I151" s="3"/>
    </row>
    <row r="152" ht="15.75" customHeight="1">
      <c r="A152" s="3"/>
      <c r="B152" s="3"/>
      <c r="C152" s="3"/>
      <c r="D152" s="3"/>
      <c r="E152" s="4"/>
      <c r="F152" s="3"/>
      <c r="G152" s="5"/>
      <c r="H152" s="3"/>
      <c r="I152" s="3"/>
    </row>
    <row r="153" ht="15.75" customHeight="1">
      <c r="A153" s="3"/>
      <c r="B153" s="3"/>
      <c r="C153" s="3"/>
      <c r="D153" s="3"/>
      <c r="E153" s="4"/>
      <c r="F153" s="3"/>
      <c r="G153" s="5"/>
      <c r="H153" s="3"/>
      <c r="I153" s="3"/>
    </row>
    <row r="154" ht="15.75" customHeight="1">
      <c r="A154" s="3"/>
      <c r="B154" s="3"/>
      <c r="C154" s="3"/>
      <c r="D154" s="3"/>
      <c r="E154" s="4"/>
      <c r="F154" s="3"/>
      <c r="G154" s="5"/>
      <c r="H154" s="3"/>
      <c r="I154" s="3"/>
    </row>
    <row r="155" ht="15.75" customHeight="1">
      <c r="A155" s="3"/>
      <c r="B155" s="3"/>
      <c r="C155" s="3"/>
      <c r="D155" s="3"/>
      <c r="E155" s="4"/>
      <c r="F155" s="3"/>
      <c r="G155" s="5"/>
      <c r="H155" s="3"/>
      <c r="I155" s="3"/>
    </row>
    <row r="156" ht="15.75" customHeight="1">
      <c r="A156" s="3"/>
      <c r="B156" s="3"/>
      <c r="C156" s="3"/>
      <c r="D156" s="3"/>
      <c r="E156" s="4"/>
      <c r="F156" s="3"/>
      <c r="G156" s="5"/>
      <c r="H156" s="3"/>
      <c r="I156" s="3"/>
    </row>
    <row r="157" ht="15.75" customHeight="1">
      <c r="A157" s="3"/>
      <c r="B157" s="3"/>
      <c r="C157" s="3"/>
      <c r="D157" s="3"/>
      <c r="E157" s="4"/>
      <c r="F157" s="3"/>
      <c r="G157" s="5"/>
      <c r="H157" s="3"/>
      <c r="I157" s="3"/>
    </row>
    <row r="158" ht="15.75" customHeight="1">
      <c r="A158" s="3"/>
      <c r="B158" s="3"/>
      <c r="C158" s="3"/>
      <c r="D158" s="3"/>
      <c r="E158" s="4"/>
      <c r="F158" s="3"/>
      <c r="G158" s="5"/>
      <c r="H158" s="3"/>
      <c r="I158" s="3"/>
    </row>
    <row r="159" ht="15.75" customHeight="1">
      <c r="A159" s="3"/>
      <c r="B159" s="3"/>
      <c r="C159" s="3"/>
      <c r="D159" s="3"/>
      <c r="E159" s="4"/>
      <c r="F159" s="3"/>
      <c r="G159" s="5"/>
      <c r="H159" s="3"/>
      <c r="I159" s="3"/>
    </row>
    <row r="160" ht="15.75" customHeight="1">
      <c r="A160" s="3"/>
      <c r="B160" s="3"/>
      <c r="C160" s="3"/>
      <c r="D160" s="3"/>
      <c r="E160" s="4"/>
      <c r="F160" s="3"/>
      <c r="G160" s="5"/>
      <c r="H160" s="3"/>
      <c r="I160" s="3"/>
    </row>
    <row r="161" ht="15.75" customHeight="1">
      <c r="A161" s="3"/>
      <c r="B161" s="3"/>
      <c r="C161" s="3"/>
      <c r="D161" s="3"/>
      <c r="E161" s="4"/>
      <c r="F161" s="3"/>
      <c r="G161" s="5"/>
      <c r="H161" s="3"/>
      <c r="I161" s="3"/>
    </row>
    <row r="162" ht="15.75" customHeight="1">
      <c r="A162" s="3"/>
      <c r="B162" s="3"/>
      <c r="C162" s="3"/>
      <c r="D162" s="3"/>
      <c r="E162" s="4"/>
      <c r="F162" s="3"/>
      <c r="G162" s="5"/>
      <c r="H162" s="3"/>
      <c r="I162" s="3"/>
    </row>
    <row r="163" ht="15.75" customHeight="1">
      <c r="A163" s="3"/>
      <c r="B163" s="3"/>
      <c r="C163" s="3"/>
      <c r="D163" s="3"/>
      <c r="E163" s="4"/>
      <c r="F163" s="3"/>
      <c r="G163" s="5"/>
      <c r="H163" s="3"/>
      <c r="I163" s="3"/>
    </row>
    <row r="164" ht="15.75" customHeight="1">
      <c r="A164" s="3"/>
      <c r="B164" s="3"/>
      <c r="C164" s="3"/>
      <c r="D164" s="3"/>
      <c r="E164" s="4"/>
      <c r="F164" s="3"/>
      <c r="G164" s="5"/>
      <c r="H164" s="3"/>
      <c r="I164" s="3"/>
    </row>
    <row r="165" ht="15.75" customHeight="1">
      <c r="A165" s="3"/>
      <c r="B165" s="3"/>
      <c r="C165" s="3"/>
      <c r="D165" s="3"/>
      <c r="E165" s="4"/>
      <c r="F165" s="3"/>
      <c r="G165" s="5"/>
      <c r="H165" s="3"/>
      <c r="I165" s="3"/>
    </row>
    <row r="166" ht="15.75" customHeight="1">
      <c r="A166" s="3"/>
      <c r="B166" s="3"/>
      <c r="C166" s="3"/>
      <c r="D166" s="3"/>
      <c r="E166" s="4"/>
      <c r="F166" s="3"/>
      <c r="G166" s="5"/>
      <c r="H166" s="3"/>
      <c r="I166" s="3"/>
    </row>
    <row r="167" ht="15.75" customHeight="1">
      <c r="A167" s="3"/>
      <c r="B167" s="3"/>
      <c r="C167" s="3"/>
      <c r="D167" s="3"/>
      <c r="E167" s="4"/>
      <c r="F167" s="3"/>
      <c r="G167" s="5"/>
      <c r="H167" s="3"/>
      <c r="I167" s="3"/>
    </row>
    <row r="168" ht="15.75" customHeight="1">
      <c r="A168" s="3"/>
      <c r="B168" s="3"/>
      <c r="C168" s="3"/>
      <c r="D168" s="3"/>
      <c r="E168" s="4"/>
      <c r="F168" s="3"/>
      <c r="G168" s="5"/>
      <c r="H168" s="3"/>
      <c r="I168" s="3"/>
    </row>
    <row r="169" ht="15.75" customHeight="1">
      <c r="A169" s="3"/>
      <c r="B169" s="3"/>
      <c r="C169" s="3"/>
      <c r="D169" s="3"/>
      <c r="E169" s="4"/>
      <c r="F169" s="3"/>
      <c r="G169" s="5"/>
      <c r="H169" s="3"/>
      <c r="I169" s="3"/>
    </row>
    <row r="170" ht="15.75" customHeight="1">
      <c r="A170" s="3"/>
      <c r="B170" s="3"/>
      <c r="C170" s="3"/>
      <c r="D170" s="3"/>
      <c r="E170" s="4"/>
      <c r="F170" s="3"/>
      <c r="G170" s="5"/>
      <c r="H170" s="3"/>
      <c r="I170" s="3"/>
    </row>
    <row r="171" ht="15.75" customHeight="1">
      <c r="A171" s="3"/>
      <c r="B171" s="3"/>
      <c r="C171" s="3"/>
      <c r="D171" s="3"/>
      <c r="E171" s="4"/>
      <c r="F171" s="3"/>
      <c r="G171" s="5"/>
      <c r="H171" s="3"/>
      <c r="I171" s="3"/>
    </row>
    <row r="172" ht="15.75" customHeight="1">
      <c r="A172" s="3"/>
      <c r="B172" s="3"/>
      <c r="C172" s="3"/>
      <c r="D172" s="3"/>
      <c r="E172" s="4"/>
      <c r="F172" s="3"/>
      <c r="G172" s="5"/>
      <c r="H172" s="3"/>
      <c r="I172" s="3"/>
    </row>
    <row r="173" ht="15.75" customHeight="1">
      <c r="A173" s="3"/>
      <c r="B173" s="3"/>
      <c r="C173" s="3"/>
      <c r="D173" s="3"/>
      <c r="E173" s="4"/>
      <c r="F173" s="3"/>
      <c r="G173" s="5"/>
      <c r="H173" s="3"/>
      <c r="I173" s="3"/>
    </row>
    <row r="174" ht="15.75" customHeight="1">
      <c r="A174" s="3"/>
      <c r="B174" s="3"/>
      <c r="C174" s="3"/>
      <c r="D174" s="3"/>
      <c r="E174" s="4"/>
      <c r="F174" s="3"/>
      <c r="G174" s="5"/>
      <c r="H174" s="3"/>
      <c r="I174" s="3"/>
    </row>
    <row r="175" ht="15.75" customHeight="1">
      <c r="A175" s="3"/>
      <c r="B175" s="3"/>
      <c r="C175" s="3"/>
      <c r="D175" s="3"/>
      <c r="E175" s="4"/>
      <c r="F175" s="3"/>
      <c r="G175" s="5"/>
      <c r="H175" s="3"/>
      <c r="I175" s="3"/>
    </row>
    <row r="176" ht="15.75" customHeight="1">
      <c r="A176" s="3"/>
      <c r="B176" s="3"/>
      <c r="C176" s="3"/>
      <c r="D176" s="3"/>
      <c r="E176" s="4"/>
      <c r="F176" s="3"/>
      <c r="G176" s="5"/>
      <c r="H176" s="3"/>
      <c r="I176" s="3"/>
    </row>
    <row r="177" ht="15.75" customHeight="1">
      <c r="A177" s="3"/>
      <c r="B177" s="3"/>
      <c r="C177" s="3"/>
      <c r="D177" s="3"/>
      <c r="E177" s="4"/>
      <c r="F177" s="3"/>
      <c r="G177" s="5"/>
      <c r="H177" s="3"/>
      <c r="I177" s="3"/>
    </row>
    <row r="178" ht="15.75" customHeight="1">
      <c r="A178" s="3"/>
      <c r="B178" s="3"/>
      <c r="C178" s="3"/>
      <c r="D178" s="3"/>
      <c r="E178" s="4"/>
      <c r="F178" s="3"/>
      <c r="G178" s="5"/>
      <c r="H178" s="3"/>
      <c r="I178" s="3"/>
    </row>
    <row r="179" ht="15.75" customHeight="1">
      <c r="A179" s="3"/>
      <c r="B179" s="3"/>
      <c r="C179" s="3"/>
      <c r="D179" s="3"/>
      <c r="E179" s="4"/>
      <c r="F179" s="3"/>
      <c r="G179" s="5"/>
      <c r="H179" s="3"/>
      <c r="I179" s="3"/>
    </row>
    <row r="180" ht="15.75" customHeight="1">
      <c r="A180" s="3"/>
      <c r="B180" s="3"/>
      <c r="C180" s="3"/>
      <c r="D180" s="3"/>
      <c r="E180" s="4"/>
      <c r="F180" s="3"/>
      <c r="G180" s="5"/>
      <c r="H180" s="3"/>
      <c r="I180" s="3"/>
    </row>
    <row r="181" ht="15.75" customHeight="1">
      <c r="A181" s="3"/>
      <c r="B181" s="3"/>
      <c r="C181" s="3"/>
      <c r="D181" s="3"/>
      <c r="E181" s="4"/>
      <c r="F181" s="3"/>
      <c r="G181" s="5"/>
      <c r="H181" s="3"/>
      <c r="I181" s="3"/>
    </row>
    <row r="182" ht="15.75" customHeight="1">
      <c r="A182" s="3"/>
      <c r="B182" s="3"/>
      <c r="C182" s="3"/>
      <c r="D182" s="3"/>
      <c r="E182" s="4"/>
      <c r="F182" s="3"/>
      <c r="G182" s="5"/>
      <c r="H182" s="3"/>
      <c r="I182" s="3"/>
    </row>
    <row r="183" ht="15.75" customHeight="1">
      <c r="A183" s="3"/>
      <c r="B183" s="3"/>
      <c r="C183" s="3"/>
      <c r="D183" s="3"/>
      <c r="E183" s="4"/>
      <c r="F183" s="3"/>
      <c r="G183" s="5"/>
      <c r="H183" s="3"/>
      <c r="I183" s="3"/>
    </row>
    <row r="184" ht="15.75" customHeight="1">
      <c r="A184" s="3"/>
      <c r="B184" s="3"/>
      <c r="C184" s="3"/>
      <c r="D184" s="3"/>
      <c r="E184" s="4"/>
      <c r="F184" s="3"/>
      <c r="G184" s="5"/>
      <c r="H184" s="3"/>
      <c r="I184" s="3"/>
    </row>
    <row r="185" ht="15.75" customHeight="1">
      <c r="A185" s="3"/>
      <c r="B185" s="3"/>
      <c r="C185" s="3"/>
      <c r="D185" s="3"/>
      <c r="E185" s="4"/>
      <c r="F185" s="3"/>
      <c r="G185" s="5"/>
      <c r="H185" s="3"/>
      <c r="I185" s="3"/>
    </row>
    <row r="186" ht="15.75" customHeight="1">
      <c r="A186" s="3"/>
      <c r="B186" s="3"/>
      <c r="C186" s="3"/>
      <c r="D186" s="3"/>
      <c r="E186" s="4"/>
      <c r="F186" s="3"/>
      <c r="G186" s="5"/>
      <c r="H186" s="3"/>
      <c r="I186" s="3"/>
    </row>
    <row r="187" ht="15.75" customHeight="1">
      <c r="A187" s="3"/>
      <c r="B187" s="3"/>
      <c r="C187" s="3"/>
      <c r="D187" s="3"/>
      <c r="E187" s="4"/>
      <c r="F187" s="3"/>
      <c r="G187" s="5"/>
      <c r="H187" s="3"/>
      <c r="I187" s="3"/>
    </row>
    <row r="188" ht="15.75" customHeight="1">
      <c r="A188" s="3"/>
      <c r="B188" s="3"/>
      <c r="C188" s="3"/>
      <c r="D188" s="3"/>
      <c r="E188" s="4"/>
      <c r="F188" s="3"/>
      <c r="G188" s="5"/>
      <c r="H188" s="3"/>
      <c r="I188" s="3"/>
    </row>
    <row r="189" ht="15.75" customHeight="1">
      <c r="A189" s="3"/>
      <c r="B189" s="3"/>
      <c r="C189" s="3"/>
      <c r="D189" s="3"/>
      <c r="E189" s="4"/>
      <c r="F189" s="3"/>
      <c r="G189" s="5"/>
      <c r="H189" s="3"/>
      <c r="I189" s="3"/>
    </row>
    <row r="190" ht="15.75" customHeight="1">
      <c r="A190" s="3"/>
      <c r="B190" s="3"/>
      <c r="C190" s="3"/>
      <c r="D190" s="3"/>
      <c r="E190" s="4"/>
      <c r="F190" s="3"/>
      <c r="G190" s="5"/>
      <c r="H190" s="3"/>
      <c r="I190" s="3"/>
    </row>
    <row r="191" ht="15.75" customHeight="1">
      <c r="A191" s="3"/>
      <c r="B191" s="3"/>
      <c r="C191" s="3"/>
      <c r="D191" s="3"/>
      <c r="E191" s="4"/>
      <c r="F191" s="3"/>
      <c r="G191" s="5"/>
      <c r="H191" s="3"/>
      <c r="I191" s="3"/>
    </row>
    <row r="192" ht="15.75" customHeight="1">
      <c r="A192" s="3"/>
      <c r="B192" s="3"/>
      <c r="C192" s="3"/>
      <c r="D192" s="3"/>
      <c r="E192" s="4"/>
      <c r="F192" s="3"/>
      <c r="G192" s="5"/>
      <c r="H192" s="3"/>
      <c r="I192" s="3"/>
    </row>
    <row r="193" ht="15.75" customHeight="1">
      <c r="A193" s="3"/>
      <c r="B193" s="3"/>
      <c r="C193" s="3"/>
      <c r="D193" s="3"/>
      <c r="E193" s="4"/>
      <c r="F193" s="3"/>
      <c r="G193" s="5"/>
      <c r="H193" s="3"/>
      <c r="I193" s="3"/>
    </row>
    <row r="194" ht="15.75" customHeight="1">
      <c r="A194" s="3"/>
      <c r="B194" s="3"/>
      <c r="C194" s="3"/>
      <c r="D194" s="3"/>
      <c r="E194" s="4"/>
      <c r="F194" s="3"/>
      <c r="G194" s="5"/>
      <c r="H194" s="3"/>
      <c r="I194" s="3"/>
    </row>
    <row r="195" ht="15.75" customHeight="1">
      <c r="A195" s="3"/>
      <c r="B195" s="3"/>
      <c r="C195" s="3"/>
      <c r="D195" s="3"/>
      <c r="E195" s="4"/>
      <c r="F195" s="3"/>
      <c r="G195" s="5"/>
      <c r="H195" s="3"/>
      <c r="I195" s="3"/>
    </row>
    <row r="196" ht="15.75" customHeight="1">
      <c r="A196" s="3"/>
      <c r="B196" s="3"/>
      <c r="C196" s="3"/>
      <c r="D196" s="3"/>
      <c r="E196" s="4"/>
      <c r="F196" s="3"/>
      <c r="G196" s="5"/>
      <c r="H196" s="3"/>
      <c r="I196" s="3"/>
    </row>
    <row r="197" ht="15.75" customHeight="1">
      <c r="A197" s="3"/>
      <c r="B197" s="3"/>
      <c r="C197" s="3"/>
      <c r="D197" s="3"/>
      <c r="E197" s="4"/>
      <c r="F197" s="3"/>
      <c r="G197" s="5"/>
      <c r="H197" s="3"/>
      <c r="I197" s="3"/>
    </row>
    <row r="198" ht="15.75" customHeight="1">
      <c r="A198" s="3"/>
      <c r="B198" s="3"/>
      <c r="C198" s="3"/>
      <c r="D198" s="3"/>
      <c r="E198" s="4"/>
      <c r="F198" s="3"/>
      <c r="G198" s="5"/>
      <c r="H198" s="3"/>
      <c r="I198" s="3"/>
    </row>
    <row r="199" ht="15.75" customHeight="1">
      <c r="A199" s="3"/>
      <c r="B199" s="3"/>
      <c r="C199" s="3"/>
      <c r="D199" s="3"/>
      <c r="E199" s="4"/>
      <c r="F199" s="3"/>
      <c r="G199" s="5"/>
      <c r="H199" s="3"/>
      <c r="I199" s="3"/>
    </row>
    <row r="200" ht="15.75" customHeight="1">
      <c r="A200" s="3"/>
      <c r="B200" s="3"/>
      <c r="C200" s="3"/>
      <c r="D200" s="3"/>
      <c r="E200" s="4"/>
      <c r="F200" s="3"/>
      <c r="G200" s="5"/>
      <c r="H200" s="3"/>
      <c r="I200" s="3"/>
    </row>
    <row r="201" ht="15.75" customHeight="1">
      <c r="A201" s="3"/>
      <c r="B201" s="3"/>
      <c r="C201" s="3"/>
      <c r="D201" s="3"/>
      <c r="E201" s="4"/>
      <c r="F201" s="3"/>
      <c r="G201" s="5"/>
      <c r="H201" s="3"/>
      <c r="I201" s="3"/>
    </row>
    <row r="202" ht="15.75" customHeight="1">
      <c r="A202" s="3"/>
      <c r="B202" s="3"/>
      <c r="C202" s="3"/>
      <c r="D202" s="3"/>
      <c r="E202" s="4"/>
      <c r="F202" s="3"/>
      <c r="G202" s="5"/>
      <c r="H202" s="3"/>
      <c r="I202" s="3"/>
    </row>
    <row r="203" ht="15.75" customHeight="1">
      <c r="A203" s="3"/>
      <c r="B203" s="3"/>
      <c r="C203" s="3"/>
      <c r="D203" s="3"/>
      <c r="E203" s="4"/>
      <c r="F203" s="3"/>
      <c r="G203" s="5"/>
      <c r="H203" s="3"/>
      <c r="I203" s="3"/>
    </row>
    <row r="204" ht="15.75" customHeight="1">
      <c r="A204" s="3"/>
      <c r="B204" s="3"/>
      <c r="C204" s="3"/>
      <c r="D204" s="3"/>
      <c r="E204" s="4"/>
      <c r="F204" s="3"/>
      <c r="G204" s="5"/>
      <c r="H204" s="3"/>
      <c r="I204" s="3"/>
    </row>
    <row r="205" ht="15.75" customHeight="1">
      <c r="A205" s="3"/>
      <c r="B205" s="3"/>
      <c r="C205" s="3"/>
      <c r="D205" s="3"/>
      <c r="E205" s="4"/>
      <c r="F205" s="3"/>
      <c r="G205" s="5"/>
      <c r="H205" s="3"/>
      <c r="I205" s="3"/>
    </row>
    <row r="206" ht="15.75" customHeight="1">
      <c r="A206" s="3"/>
      <c r="B206" s="3"/>
      <c r="C206" s="3"/>
      <c r="D206" s="3"/>
      <c r="E206" s="4"/>
      <c r="F206" s="3"/>
      <c r="G206" s="5"/>
      <c r="H206" s="3"/>
      <c r="I206" s="3"/>
    </row>
    <row r="207" ht="15.75" customHeight="1">
      <c r="A207" s="3"/>
      <c r="B207" s="3"/>
      <c r="C207" s="3"/>
      <c r="D207" s="3"/>
      <c r="E207" s="4"/>
      <c r="F207" s="3"/>
      <c r="G207" s="5"/>
      <c r="H207" s="3"/>
      <c r="I207" s="3"/>
    </row>
    <row r="208" ht="15.75" customHeight="1">
      <c r="A208" s="3"/>
      <c r="B208" s="3"/>
      <c r="C208" s="3"/>
      <c r="D208" s="3"/>
      <c r="E208" s="4"/>
      <c r="F208" s="3"/>
      <c r="G208" s="5"/>
      <c r="H208" s="3"/>
      <c r="I208" s="3"/>
    </row>
    <row r="209" ht="15.75" customHeight="1">
      <c r="A209" s="3"/>
      <c r="B209" s="3"/>
      <c r="C209" s="3"/>
      <c r="D209" s="3"/>
      <c r="E209" s="4"/>
      <c r="F209" s="3"/>
      <c r="G209" s="5"/>
      <c r="H209" s="3"/>
      <c r="I209" s="3"/>
    </row>
    <row r="210" ht="15.75" customHeight="1">
      <c r="A210" s="3"/>
      <c r="B210" s="3"/>
      <c r="C210" s="3"/>
      <c r="D210" s="3"/>
      <c r="E210" s="4"/>
      <c r="F210" s="3"/>
      <c r="G210" s="5"/>
      <c r="H210" s="3"/>
      <c r="I210" s="3"/>
    </row>
    <row r="211" ht="15.75" customHeight="1">
      <c r="A211" s="3"/>
      <c r="B211" s="3"/>
      <c r="C211" s="3"/>
      <c r="D211" s="3"/>
      <c r="E211" s="4"/>
      <c r="F211" s="3"/>
      <c r="G211" s="5"/>
      <c r="H211" s="3"/>
      <c r="I211" s="3"/>
    </row>
    <row r="212" ht="15.75" customHeight="1">
      <c r="A212" s="3"/>
      <c r="B212" s="3"/>
      <c r="C212" s="3"/>
      <c r="D212" s="3"/>
      <c r="E212" s="4"/>
      <c r="F212" s="3"/>
      <c r="G212" s="5"/>
      <c r="H212" s="3"/>
      <c r="I212" s="3"/>
    </row>
    <row r="213" ht="15.75" customHeight="1">
      <c r="A213" s="3"/>
      <c r="B213" s="3"/>
      <c r="C213" s="3"/>
      <c r="D213" s="3"/>
      <c r="E213" s="4"/>
      <c r="F213" s="3"/>
      <c r="G213" s="5"/>
      <c r="H213" s="3"/>
      <c r="I213" s="3"/>
    </row>
    <row r="214" ht="15.75" customHeight="1">
      <c r="A214" s="3"/>
      <c r="B214" s="3"/>
      <c r="C214" s="3"/>
      <c r="D214" s="3"/>
      <c r="E214" s="4"/>
      <c r="F214" s="3"/>
      <c r="G214" s="5"/>
      <c r="H214" s="3"/>
      <c r="I214" s="3"/>
    </row>
    <row r="215" ht="15.75" customHeight="1">
      <c r="A215" s="3"/>
      <c r="B215" s="3"/>
      <c r="C215" s="3"/>
      <c r="D215" s="3"/>
      <c r="E215" s="4"/>
      <c r="F215" s="3"/>
      <c r="G215" s="5"/>
      <c r="H215" s="3"/>
      <c r="I215" s="3"/>
    </row>
    <row r="216" ht="15.75" customHeight="1">
      <c r="A216" s="3"/>
      <c r="B216" s="3"/>
      <c r="C216" s="3"/>
      <c r="D216" s="3"/>
      <c r="E216" s="4"/>
      <c r="F216" s="3"/>
      <c r="G216" s="5"/>
      <c r="H216" s="3"/>
      <c r="I216" s="3"/>
    </row>
    <row r="217" ht="15.75" customHeight="1">
      <c r="A217" s="3"/>
      <c r="B217" s="3"/>
      <c r="C217" s="3"/>
      <c r="D217" s="3"/>
      <c r="E217" s="4"/>
      <c r="F217" s="3"/>
      <c r="G217" s="5"/>
      <c r="H217" s="3"/>
      <c r="I217" s="3"/>
    </row>
    <row r="218" ht="15.75" customHeight="1">
      <c r="A218" s="3"/>
      <c r="B218" s="3"/>
      <c r="C218" s="3"/>
      <c r="D218" s="3"/>
      <c r="E218" s="4"/>
      <c r="F218" s="3"/>
      <c r="G218" s="5"/>
      <c r="H218" s="3"/>
      <c r="I218" s="3"/>
    </row>
    <row r="219" ht="15.75" customHeight="1">
      <c r="A219" s="3"/>
      <c r="B219" s="3"/>
      <c r="C219" s="3"/>
      <c r="D219" s="3"/>
      <c r="E219" s="4"/>
      <c r="F219" s="3"/>
      <c r="G219" s="5"/>
      <c r="H219" s="3"/>
      <c r="I219" s="3"/>
    </row>
    <row r="220" ht="15.75" customHeight="1">
      <c r="A220" s="3"/>
      <c r="B220" s="3"/>
      <c r="C220" s="3"/>
      <c r="D220" s="3"/>
      <c r="E220" s="4"/>
      <c r="F220" s="3"/>
      <c r="G220" s="5"/>
      <c r="H220" s="3"/>
      <c r="I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H2:P2"/>
    <mergeCell ref="H3:P3"/>
    <mergeCell ref="H4:P4"/>
  </mergeCells>
  <drawing r:id="rId1"/>
</worksheet>
</file>